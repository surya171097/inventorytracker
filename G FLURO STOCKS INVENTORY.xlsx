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G FLURO 2024-25\"/>
    </mc:Choice>
  </mc:AlternateContent>
  <xr:revisionPtr revIDLastSave="0" documentId="13_ncr:1_{0E335061-4105-40F8-8EB4-ABC26391692B}" xr6:coauthVersionLast="47" xr6:coauthVersionMax="47" xr10:uidLastSave="{00000000-0000-0000-0000-000000000000}"/>
  <bookViews>
    <workbookView xWindow="-108" yWindow="-108" windowWidth="23256" windowHeight="12456" activeTab="2" xr2:uid="{40A9854C-8057-46B3-BA4C-8F0BF60A75F7}"/>
  </bookViews>
  <sheets>
    <sheet name="TOTAL INVENTORY" sheetId="1" r:id="rId1"/>
    <sheet name="STOCK IN" sheetId="2" r:id="rId2"/>
    <sheet name="STOCK OUT" sheetId="3" r:id="rId3"/>
  </sheets>
  <definedNames>
    <definedName name="GODOWN">'TOTAL INVENTORY'!$V$6:$V$8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O18" i="1" s="1"/>
  <c r="N19" i="1"/>
  <c r="N20" i="1"/>
  <c r="N21" i="1"/>
  <c r="N22" i="1"/>
  <c r="N23" i="1"/>
  <c r="N24" i="1"/>
  <c r="N25" i="1"/>
  <c r="N26" i="1"/>
  <c r="O26" i="1" s="1"/>
  <c r="N27" i="1"/>
  <c r="N28" i="1"/>
  <c r="N29" i="1"/>
  <c r="N30" i="1"/>
  <c r="N31" i="1"/>
  <c r="M6" i="1"/>
  <c r="M7" i="1"/>
  <c r="M8" i="1"/>
  <c r="M9" i="1"/>
  <c r="M10" i="1"/>
  <c r="O10" i="1" s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J6" i="1"/>
  <c r="J7" i="1"/>
  <c r="J8" i="1"/>
  <c r="J9" i="1"/>
  <c r="K9" i="1" s="1"/>
  <c r="J10" i="1"/>
  <c r="J11" i="1"/>
  <c r="J12" i="1"/>
  <c r="J13" i="1"/>
  <c r="J14" i="1"/>
  <c r="J15" i="1"/>
  <c r="J16" i="1"/>
  <c r="J17" i="1"/>
  <c r="K17" i="1" s="1"/>
  <c r="J18" i="1"/>
  <c r="J19" i="1"/>
  <c r="J20" i="1"/>
  <c r="J21" i="1"/>
  <c r="K21" i="1" s="1"/>
  <c r="J22" i="1"/>
  <c r="J23" i="1"/>
  <c r="J24" i="1"/>
  <c r="J25" i="1"/>
  <c r="K25" i="1" s="1"/>
  <c r="J26" i="1"/>
  <c r="J27" i="1"/>
  <c r="J28" i="1"/>
  <c r="J29" i="1"/>
  <c r="J30" i="1"/>
  <c r="J31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F6" i="1"/>
  <c r="R6" i="1" s="1"/>
  <c r="F7" i="1"/>
  <c r="F8" i="1"/>
  <c r="F9" i="1"/>
  <c r="G9" i="1" s="1"/>
  <c r="F10" i="1"/>
  <c r="R10" i="1" s="1"/>
  <c r="F11" i="1"/>
  <c r="R11" i="1" s="1"/>
  <c r="F12" i="1"/>
  <c r="R12" i="1" s="1"/>
  <c r="F13" i="1"/>
  <c r="R13" i="1" s="1"/>
  <c r="F14" i="1"/>
  <c r="R14" i="1" s="1"/>
  <c r="F15" i="1"/>
  <c r="R15" i="1" s="1"/>
  <c r="F16" i="1"/>
  <c r="F17" i="1"/>
  <c r="R17" i="1" s="1"/>
  <c r="F18" i="1"/>
  <c r="R18" i="1" s="1"/>
  <c r="F19" i="1"/>
  <c r="R19" i="1" s="1"/>
  <c r="F20" i="1"/>
  <c r="R20" i="1" s="1"/>
  <c r="F21" i="1"/>
  <c r="R21" i="1" s="1"/>
  <c r="F22" i="1"/>
  <c r="R22" i="1" s="1"/>
  <c r="F23" i="1"/>
  <c r="R23" i="1" s="1"/>
  <c r="F24" i="1"/>
  <c r="F25" i="1"/>
  <c r="F26" i="1"/>
  <c r="R26" i="1" s="1"/>
  <c r="F27" i="1"/>
  <c r="R27" i="1" s="1"/>
  <c r="F28" i="1"/>
  <c r="F29" i="1"/>
  <c r="R29" i="1" s="1"/>
  <c r="F30" i="1"/>
  <c r="R30" i="1" s="1"/>
  <c r="F31" i="1"/>
  <c r="R31" i="1" s="1"/>
  <c r="E6" i="1"/>
  <c r="E7" i="1"/>
  <c r="E8" i="1"/>
  <c r="Q8" i="1" s="1"/>
  <c r="E9" i="1"/>
  <c r="E10" i="1"/>
  <c r="E11" i="1"/>
  <c r="E12" i="1"/>
  <c r="Q12" i="1" s="1"/>
  <c r="E13" i="1"/>
  <c r="Q13" i="1" s="1"/>
  <c r="E14" i="1"/>
  <c r="E15" i="1"/>
  <c r="E16" i="1"/>
  <c r="Q16" i="1" s="1"/>
  <c r="E17" i="1"/>
  <c r="Q17" i="1" s="1"/>
  <c r="E18" i="1"/>
  <c r="E19" i="1"/>
  <c r="E20" i="1"/>
  <c r="Q20" i="1" s="1"/>
  <c r="E21" i="1"/>
  <c r="Q21" i="1" s="1"/>
  <c r="E22" i="1"/>
  <c r="E23" i="1"/>
  <c r="E24" i="1"/>
  <c r="Q24" i="1" s="1"/>
  <c r="E25" i="1"/>
  <c r="Q25" i="1" s="1"/>
  <c r="E26" i="1"/>
  <c r="Q26" i="1" s="1"/>
  <c r="E27" i="1"/>
  <c r="E28" i="1"/>
  <c r="E29" i="1"/>
  <c r="Q29" i="1" s="1"/>
  <c r="E30" i="1"/>
  <c r="E31" i="1"/>
  <c r="J5" i="1"/>
  <c r="P10" i="1"/>
  <c r="P17" i="1"/>
  <c r="P12" i="1"/>
  <c r="P21" i="1"/>
  <c r="P26" i="1"/>
  <c r="P30" i="1"/>
  <c r="P11" i="1"/>
  <c r="P5" i="1"/>
  <c r="P7" i="1"/>
  <c r="P9" i="1"/>
  <c r="P19" i="1"/>
  <c r="P20" i="1"/>
  <c r="P24" i="1"/>
  <c r="P15" i="1"/>
  <c r="P8" i="1"/>
  <c r="P28" i="1"/>
  <c r="P14" i="1"/>
  <c r="P29" i="1"/>
  <c r="P6" i="1"/>
  <c r="P23" i="1"/>
  <c r="P16" i="1"/>
  <c r="P25" i="1"/>
  <c r="P27" i="1"/>
  <c r="P13" i="1"/>
  <c r="P18" i="1"/>
  <c r="P22" i="1"/>
  <c r="P31" i="1"/>
  <c r="N5" i="1"/>
  <c r="F5" i="1"/>
  <c r="M5" i="1"/>
  <c r="E5" i="1"/>
  <c r="I5" i="1"/>
  <c r="V8" i="1"/>
  <c r="V7" i="1"/>
  <c r="V6" i="1"/>
  <c r="K24" i="1" l="1"/>
  <c r="K16" i="1"/>
  <c r="K8" i="1"/>
  <c r="O28" i="1"/>
  <c r="O24" i="1"/>
  <c r="O20" i="1"/>
  <c r="O16" i="1"/>
  <c r="O12" i="1"/>
  <c r="O8" i="1"/>
  <c r="S29" i="1"/>
  <c r="T29" i="1" s="1"/>
  <c r="S21" i="1"/>
  <c r="T21" i="1" s="1"/>
  <c r="S17" i="1"/>
  <c r="T17" i="1" s="1"/>
  <c r="S13" i="1"/>
  <c r="T13" i="1" s="1"/>
  <c r="G23" i="1"/>
  <c r="G7" i="1"/>
  <c r="K23" i="1"/>
  <c r="K7" i="1"/>
  <c r="O31" i="1"/>
  <c r="O27" i="1"/>
  <c r="O23" i="1"/>
  <c r="O19" i="1"/>
  <c r="O7" i="1"/>
  <c r="R7" i="1"/>
  <c r="S26" i="1"/>
  <c r="T26" i="1" s="1"/>
  <c r="Q28" i="1"/>
  <c r="K31" i="1"/>
  <c r="G31" i="1"/>
  <c r="K29" i="1"/>
  <c r="K27" i="1"/>
  <c r="G27" i="1"/>
  <c r="G25" i="1"/>
  <c r="S20" i="1"/>
  <c r="T20" i="1" s="1"/>
  <c r="K19" i="1"/>
  <c r="G19" i="1"/>
  <c r="O15" i="1"/>
  <c r="G15" i="1"/>
  <c r="K15" i="1"/>
  <c r="K13" i="1"/>
  <c r="S12" i="1"/>
  <c r="T12" i="1" s="1"/>
  <c r="G11" i="1"/>
  <c r="K11" i="1"/>
  <c r="O11" i="1"/>
  <c r="G18" i="1"/>
  <c r="G14" i="1"/>
  <c r="G10" i="1"/>
  <c r="G6" i="1"/>
  <c r="G20" i="1"/>
  <c r="G8" i="1"/>
  <c r="K26" i="1"/>
  <c r="K18" i="1"/>
  <c r="K14" i="1"/>
  <c r="K6" i="1"/>
  <c r="G30" i="1"/>
  <c r="G26" i="1"/>
  <c r="G22" i="1"/>
  <c r="G24" i="1"/>
  <c r="G16" i="1"/>
  <c r="G12" i="1"/>
  <c r="K30" i="1"/>
  <c r="K22" i="1"/>
  <c r="K10" i="1"/>
  <c r="K20" i="1"/>
  <c r="K12" i="1"/>
  <c r="O30" i="1"/>
  <c r="O22" i="1"/>
  <c r="O14" i="1"/>
  <c r="O6" i="1"/>
  <c r="Q18" i="1"/>
  <c r="S18" i="1" s="1"/>
  <c r="T18" i="1" s="1"/>
  <c r="Q10" i="1"/>
  <c r="S10" i="1" s="1"/>
  <c r="T10" i="1" s="1"/>
  <c r="G21" i="1"/>
  <c r="G28" i="1"/>
  <c r="K28" i="1"/>
  <c r="R28" i="1"/>
  <c r="Q9" i="1"/>
  <c r="Q15" i="1"/>
  <c r="S15" i="1" s="1"/>
  <c r="T15" i="1" s="1"/>
  <c r="R25" i="1"/>
  <c r="S25" i="1" s="1"/>
  <c r="T25" i="1" s="1"/>
  <c r="R9" i="1"/>
  <c r="S9" i="1" s="1"/>
  <c r="T9" i="1" s="1"/>
  <c r="G17" i="1"/>
  <c r="Q31" i="1"/>
  <c r="S31" i="1" s="1"/>
  <c r="T31" i="1" s="1"/>
  <c r="Q23" i="1"/>
  <c r="S23" i="1" s="1"/>
  <c r="T23" i="1" s="1"/>
  <c r="Q7" i="1"/>
  <c r="Q30" i="1"/>
  <c r="S30" i="1" s="1"/>
  <c r="T30" i="1" s="1"/>
  <c r="Q22" i="1"/>
  <c r="S22" i="1" s="1"/>
  <c r="T22" i="1" s="1"/>
  <c r="Q14" i="1"/>
  <c r="S14" i="1" s="1"/>
  <c r="T14" i="1" s="1"/>
  <c r="Q6" i="1"/>
  <c r="S6" i="1" s="1"/>
  <c r="T6" i="1" s="1"/>
  <c r="R24" i="1"/>
  <c r="S24" i="1" s="1"/>
  <c r="T24" i="1" s="1"/>
  <c r="R16" i="1"/>
  <c r="S16" i="1" s="1"/>
  <c r="T16" i="1" s="1"/>
  <c r="R8" i="1"/>
  <c r="S8" i="1" s="1"/>
  <c r="T8" i="1" s="1"/>
  <c r="G29" i="1"/>
  <c r="G13" i="1"/>
  <c r="O29" i="1"/>
  <c r="O25" i="1"/>
  <c r="O21" i="1"/>
  <c r="O17" i="1"/>
  <c r="O13" i="1"/>
  <c r="O9" i="1"/>
  <c r="Q27" i="1"/>
  <c r="S27" i="1" s="1"/>
  <c r="T27" i="1" s="1"/>
  <c r="Q19" i="1"/>
  <c r="S19" i="1" s="1"/>
  <c r="T19" i="1" s="1"/>
  <c r="Q11" i="1"/>
  <c r="S11" i="1" s="1"/>
  <c r="T11" i="1" s="1"/>
  <c r="K5" i="1"/>
  <c r="O5" i="1"/>
  <c r="R5" i="1"/>
  <c r="Q5" i="1"/>
  <c r="G5" i="1"/>
  <c r="S7" i="1" l="1"/>
  <c r="T7" i="1" s="1"/>
  <c r="S28" i="1"/>
  <c r="T28" i="1" s="1"/>
  <c r="S5" i="1"/>
  <c r="T5" i="1" s="1"/>
</calcChain>
</file>

<file path=xl/sharedStrings.xml><?xml version="1.0" encoding="utf-8"?>
<sst xmlns="http://schemas.openxmlformats.org/spreadsheetml/2006/main" count="88" uniqueCount="56">
  <si>
    <t>G FLURO COATINGS PRIVATE LIMITED - (STOCKS INVENTORY)</t>
  </si>
  <si>
    <t>TOTAL NUMBER OF PRODUCTS</t>
  </si>
  <si>
    <t>PRODUCT CODE</t>
  </si>
  <si>
    <t>GODOWN 1</t>
  </si>
  <si>
    <t>GODOWN 2</t>
  </si>
  <si>
    <t>GODOWN 3</t>
  </si>
  <si>
    <t>TOTAL STOCK IN</t>
  </si>
  <si>
    <t>TOTAL STOCK OUT</t>
  </si>
  <si>
    <t>OPENING</t>
  </si>
  <si>
    <t>STOCK IN</t>
  </si>
  <si>
    <t>STOCK OUT</t>
  </si>
  <si>
    <t>CLOSING</t>
  </si>
  <si>
    <t>TOTAL OPENING</t>
  </si>
  <si>
    <t>TOTAL CLOSING</t>
  </si>
  <si>
    <t>G FLURO COATINGS  PRIVATE LIMITED - (STOCKS IN)</t>
  </si>
  <si>
    <t>DATE</t>
  </si>
  <si>
    <t>ITEM CODE</t>
  </si>
  <si>
    <t>INNVOICE NUMBER</t>
  </si>
  <si>
    <t>GODOWN</t>
  </si>
  <si>
    <t>QUANTITY PURCHASE</t>
  </si>
  <si>
    <t>SERIAL NUMBER</t>
  </si>
  <si>
    <t>G FLURO COATINGS  PRIVATE LIMITED - (STOCKS OUT)</t>
  </si>
  <si>
    <t>COLLECTIVE DATA CONTAINS</t>
  </si>
  <si>
    <t>180-190(G-18)</t>
  </si>
  <si>
    <t>258-268(G-26)</t>
  </si>
  <si>
    <t>PCS/PKT</t>
  </si>
  <si>
    <t>TOTAL PCS AVAILABLE</t>
  </si>
  <si>
    <t>140-160</t>
  </si>
  <si>
    <t>150-160</t>
  </si>
  <si>
    <t>170-180</t>
  </si>
  <si>
    <t>180-190</t>
  </si>
  <si>
    <t>190-200</t>
  </si>
  <si>
    <t>200-210</t>
  </si>
  <si>
    <t>210-220</t>
  </si>
  <si>
    <t>213-223</t>
  </si>
  <si>
    <t>218-228</t>
  </si>
  <si>
    <t>225-235</t>
  </si>
  <si>
    <t>230-240</t>
  </si>
  <si>
    <t>233-243</t>
  </si>
  <si>
    <t>237-248</t>
  </si>
  <si>
    <t>245-255</t>
  </si>
  <si>
    <t>248-258</t>
  </si>
  <si>
    <t>250-260</t>
  </si>
  <si>
    <t>255-265</t>
  </si>
  <si>
    <t>269-279</t>
  </si>
  <si>
    <t>278-288</t>
  </si>
  <si>
    <t>280-290</t>
  </si>
  <si>
    <t>298-308</t>
  </si>
  <si>
    <t>320-330</t>
  </si>
  <si>
    <t>278-288(G-28)</t>
  </si>
  <si>
    <t>G/SAL/86</t>
  </si>
  <si>
    <t>278-288(10 PCS)</t>
  </si>
  <si>
    <t>218-228(10 PCS)</t>
  </si>
  <si>
    <t>G/SAL/88</t>
  </si>
  <si>
    <t>QUANTITY SELL  (IN PCS.)</t>
  </si>
  <si>
    <t>QUANTITY SELL   (IN PKTS.)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</si>
</sst>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6"/>
      <color theme="1"/>
      <name val="Bahnschrift SemiCondensed"/>
      <family val="2"/>
    </font>
    <font>
      <b/>
      <sz val="12"/>
      <color theme="1"/>
      <name val="Bahnschrift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Aharoni"/>
      <charset val="177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 applyAlignment="1">
      <alignment horizontal="center" vertical="center"/>
    </xf>
    <xf numFmtId="0" fontId="7" fillId="7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center"/>
    </xf>
    <xf numFmtId="0" fontId="0" fillId="0" borderId="0" xfId="0" applyBorder="1"/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2A0F-EA13-42BB-90B4-CC935C2B82D1}">
  <sheetPr>
    <pageSetUpPr fitToPage="1"/>
  </sheetPr>
  <dimension ref="A1:W217"/>
  <sheetViews>
    <sheetView zoomScale="70" zoomScaleNormal="70" workbookViewId="0">
      <pane xSplit="20" ySplit="4" topLeftCell="U17" activePane="bottomRight" state="frozen"/>
      <selection pane="topRight" activeCell="T1" sqref="T1"/>
      <selection pane="bottomLeft" activeCell="A5" sqref="A5"/>
      <selection pane="bottomRight" activeCell="J11" sqref="J11"/>
    </sheetView>
  </sheetViews>
  <sheetFormatPr defaultRowHeight="21" customHeight="1" x14ac:dyDescent="0.3"/>
  <cols>
    <col min="1" max="1" width="10.6640625" style="12" customWidth="1"/>
    <col min="2" max="2" width="28.5546875" style="11" customWidth="1"/>
    <col min="3" max="3" width="10.6640625" style="11" customWidth="1"/>
    <col min="4" max="15" width="10.109375" style="11" customWidth="1"/>
    <col min="16" max="18" width="8.88671875" style="11"/>
    <col min="19" max="19" width="16.21875" style="11" customWidth="1"/>
    <col min="20" max="20" width="21.6640625" style="13" customWidth="1"/>
    <col min="21" max="21" width="8.88671875" style="11" customWidth="1"/>
    <col min="22" max="16384" width="8.88671875" style="11"/>
  </cols>
  <sheetData>
    <row r="1" spans="1:23" customFormat="1" ht="35.4" customHeight="1" thickBot="1" x14ac:dyDescent="0.3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5"/>
      <c r="T1" s="26"/>
    </row>
    <row r="2" spans="1:23" customFormat="1" ht="20.399999999999999" customHeight="1" thickTop="1" thickBot="1" x14ac:dyDescent="0.35">
      <c r="A2" s="27" t="s">
        <v>1</v>
      </c>
      <c r="B2" s="29" t="s">
        <v>2</v>
      </c>
      <c r="C2" s="31" t="s">
        <v>25</v>
      </c>
      <c r="D2" s="33" t="s">
        <v>3</v>
      </c>
      <c r="E2" s="33"/>
      <c r="F2" s="33"/>
      <c r="G2" s="33"/>
      <c r="H2" s="34" t="s">
        <v>4</v>
      </c>
      <c r="I2" s="34"/>
      <c r="J2" s="34"/>
      <c r="K2" s="34"/>
      <c r="L2" s="35" t="s">
        <v>5</v>
      </c>
      <c r="M2" s="35"/>
      <c r="N2" s="35"/>
      <c r="O2" s="35"/>
      <c r="P2" s="36" t="s">
        <v>12</v>
      </c>
      <c r="Q2" s="36" t="s">
        <v>6</v>
      </c>
      <c r="R2" s="36" t="s">
        <v>7</v>
      </c>
      <c r="S2" s="38" t="s">
        <v>13</v>
      </c>
      <c r="T2" s="21" t="s">
        <v>26</v>
      </c>
    </row>
    <row r="3" spans="1:23" customFormat="1" ht="48" customHeight="1" thickTop="1" thickBot="1" x14ac:dyDescent="0.35">
      <c r="A3" s="28"/>
      <c r="B3" s="30"/>
      <c r="C3" s="32"/>
      <c r="D3" s="7" t="s">
        <v>8</v>
      </c>
      <c r="E3" s="7" t="s">
        <v>9</v>
      </c>
      <c r="F3" s="7" t="s">
        <v>10</v>
      </c>
      <c r="G3" s="7" t="s">
        <v>11</v>
      </c>
      <c r="H3" s="8" t="s">
        <v>8</v>
      </c>
      <c r="I3" s="8" t="s">
        <v>9</v>
      </c>
      <c r="J3" s="8" t="s">
        <v>10</v>
      </c>
      <c r="K3" s="8" t="s">
        <v>11</v>
      </c>
      <c r="L3" s="9" t="s">
        <v>8</v>
      </c>
      <c r="M3" s="9" t="s">
        <v>9</v>
      </c>
      <c r="N3" s="9" t="s">
        <v>10</v>
      </c>
      <c r="O3" s="9" t="s">
        <v>11</v>
      </c>
      <c r="P3" s="37"/>
      <c r="Q3" s="37"/>
      <c r="R3" s="37"/>
      <c r="S3" s="39"/>
      <c r="T3" s="22"/>
      <c r="U3" s="19" t="s">
        <v>22</v>
      </c>
      <c r="V3" s="20"/>
      <c r="W3" s="20"/>
    </row>
    <row r="4" spans="1:23" s="1" customFormat="1" ht="4.2" customHeight="1" thickBot="1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  <c r="Q4" s="14"/>
      <c r="R4" s="14"/>
      <c r="S4" s="14"/>
      <c r="T4" s="14"/>
    </row>
    <row r="5" spans="1:23" ht="21" customHeight="1" thickBot="1" x14ac:dyDescent="0.35">
      <c r="A5" s="17">
        <v>1</v>
      </c>
      <c r="B5" s="16" t="s">
        <v>27</v>
      </c>
      <c r="C5" s="10">
        <v>20</v>
      </c>
      <c r="D5" s="10">
        <v>1</v>
      </c>
      <c r="E5" s="10">
        <f>SUMIFS('STOCK IN'!$F$3:$F$500,'STOCK IN'!$D$3:$D$500,B5,'STOCK IN'!$E$3:$E$500,$D$2)</f>
        <v>0</v>
      </c>
      <c r="F5" s="10">
        <f>SUMIFS('STOCK OUT'!$F$3:$F$9,'STOCK OUT'!$D$3:$D$9,B5,'STOCK OUT'!$E$3:$E$9,$D$2)</f>
        <v>0</v>
      </c>
      <c r="G5" s="10">
        <f>D5+E5-F5</f>
        <v>1</v>
      </c>
      <c r="H5" s="10">
        <v>0</v>
      </c>
      <c r="I5" s="10">
        <f>SUMIFS('STOCK IN'!$F$3:$F$500,'STOCK IN'!$D$3:$D$500,B5,'STOCK IN'!$E$3:$E$500,$H$2)</f>
        <v>0</v>
      </c>
      <c r="J5" s="10">
        <f>SUMIFS('STOCK OUT'!$F$3:$F$9,'STOCK OUT'!$D$3:$D$9,B5,'STOCK OUT'!$E$3:$E$9,$H$2)</f>
        <v>0</v>
      </c>
      <c r="K5" s="10">
        <f>H5+I5-J5</f>
        <v>0</v>
      </c>
      <c r="L5" s="10">
        <v>0</v>
      </c>
      <c r="M5" s="10">
        <f>SUMIFS('STOCK IN'!$F$3:$F$500,'STOCK IN'!$D$3:$D$500,B5,'STOCK IN'!$E$3:$E$500,$L$2)</f>
        <v>0</v>
      </c>
      <c r="N5" s="10">
        <f>SUMIFS('STOCK OUT'!$F$3:$F$9,'STOCK OUT'!$D$3:$D$9,B5,'STOCK OUT'!$E$3:$E$9,$L$2)</f>
        <v>0</v>
      </c>
      <c r="O5" s="10">
        <f>L5+M5-N5</f>
        <v>0</v>
      </c>
      <c r="P5" s="10">
        <f>D5+H5+L5</f>
        <v>1</v>
      </c>
      <c r="Q5" s="10">
        <f>E5+I5+M5</f>
        <v>0</v>
      </c>
      <c r="R5" s="10">
        <f>F5+J5+N5</f>
        <v>0</v>
      </c>
      <c r="S5" s="10">
        <f>P5+Q5-R5</f>
        <v>1</v>
      </c>
      <c r="T5" s="18" t="str">
        <f>C5*S5 &amp;" PCS"</f>
        <v>20 PCS</v>
      </c>
    </row>
    <row r="6" spans="1:23" ht="21" customHeight="1" thickBot="1" x14ac:dyDescent="0.35">
      <c r="A6" s="17">
        <v>2</v>
      </c>
      <c r="B6" s="16" t="s">
        <v>28</v>
      </c>
      <c r="C6" s="10">
        <v>20</v>
      </c>
      <c r="D6" s="10">
        <v>0</v>
      </c>
      <c r="E6" s="10">
        <f>SUMIFS('STOCK IN'!$F$3:$F$500,'STOCK IN'!$D$3:$D$500,B6,'STOCK IN'!$E$3:$E$500,$D$2)</f>
        <v>0</v>
      </c>
      <c r="F6" s="10">
        <f>SUMIFS('STOCK OUT'!$F$3:$F$9,'STOCK OUT'!$D$3:$D$9,B6,'STOCK OUT'!$E$3:$E$9,$D$2)</f>
        <v>0</v>
      </c>
      <c r="G6" s="10">
        <f t="shared" ref="G6:G31" si="0">D6+E6-F6</f>
        <v>0</v>
      </c>
      <c r="H6" s="10">
        <v>84</v>
      </c>
      <c r="I6" s="10">
        <f>SUMIFS('STOCK IN'!$F$3:$F$500,'STOCK IN'!$D$3:$D$500,B6,'STOCK IN'!$E$3:$E$500,$H$2)</f>
        <v>0</v>
      </c>
      <c r="J6" s="10">
        <f>SUMIFS('STOCK OUT'!$F$3:$F$9,'STOCK OUT'!$D$3:$D$9,B6,'STOCK OUT'!$E$3:$E$9,$H$2)</f>
        <v>1</v>
      </c>
      <c r="K6" s="10">
        <f t="shared" ref="K6:K31" si="1">H6+I6-J6</f>
        <v>83</v>
      </c>
      <c r="L6" s="10">
        <v>0</v>
      </c>
      <c r="M6" s="10">
        <f>SUMIFS('STOCK IN'!$F$3:$F$500,'STOCK IN'!$D$3:$D$500,B6,'STOCK IN'!$E$3:$E$500,$L$2)</f>
        <v>0</v>
      </c>
      <c r="N6" s="10">
        <f>SUMIFS('STOCK OUT'!$F$3:$F$9,'STOCK OUT'!$D$3:$D$9,B6,'STOCK OUT'!$E$3:$E$9,$L$2)</f>
        <v>0</v>
      </c>
      <c r="O6" s="10">
        <f t="shared" ref="O6:O31" si="2">L6+M6-N6</f>
        <v>0</v>
      </c>
      <c r="P6" s="10">
        <f t="shared" ref="P6:P31" si="3">D6+H6+L6</f>
        <v>84</v>
      </c>
      <c r="Q6" s="10">
        <f t="shared" ref="Q6:Q31" si="4">E6+I6+M6</f>
        <v>0</v>
      </c>
      <c r="R6" s="10">
        <f t="shared" ref="R6:R31" si="5">F6+J6+N6</f>
        <v>1</v>
      </c>
      <c r="S6" s="10">
        <f t="shared" ref="S6:S31" si="6">P6+Q6-R6</f>
        <v>83</v>
      </c>
      <c r="T6" s="18" t="str">
        <f t="shared" ref="T6:T31" si="7">C6*S6 &amp;" PCS"</f>
        <v>1660 PCS</v>
      </c>
      <c r="V6" s="11" t="str">
        <f>D2</f>
        <v>GODOWN 1</v>
      </c>
    </row>
    <row r="7" spans="1:23" ht="21" customHeight="1" thickBot="1" x14ac:dyDescent="0.35">
      <c r="A7" s="17">
        <v>3</v>
      </c>
      <c r="B7" s="16" t="s">
        <v>29</v>
      </c>
      <c r="C7" s="10">
        <v>20</v>
      </c>
      <c r="D7" s="10">
        <v>15</v>
      </c>
      <c r="E7" s="10">
        <f>SUMIFS('STOCK IN'!$F$3:$F$500,'STOCK IN'!$D$3:$D$500,B7,'STOCK IN'!$E$3:$E$500,$D$2)</f>
        <v>0</v>
      </c>
      <c r="F7" s="10">
        <f>SUMIFS('STOCK OUT'!$F$3:$F$9,'STOCK OUT'!$D$3:$D$9,B7,'STOCK OUT'!$E$3:$E$9,$D$2)</f>
        <v>0</v>
      </c>
      <c r="G7" s="10">
        <f t="shared" si="0"/>
        <v>15</v>
      </c>
      <c r="H7" s="10">
        <v>0</v>
      </c>
      <c r="I7" s="10">
        <f>SUMIFS('STOCK IN'!$F$3:$F$500,'STOCK IN'!$D$3:$D$500,B7,'STOCK IN'!$E$3:$E$500,$H$2)</f>
        <v>0</v>
      </c>
      <c r="J7" s="10">
        <f>SUMIFS('STOCK OUT'!$F$3:$F$9,'STOCK OUT'!$D$3:$D$9,B7,'STOCK OUT'!$E$3:$E$9,$H$2)</f>
        <v>0</v>
      </c>
      <c r="K7" s="10">
        <f t="shared" si="1"/>
        <v>0</v>
      </c>
      <c r="L7" s="10">
        <v>0</v>
      </c>
      <c r="M7" s="10">
        <f>SUMIFS('STOCK IN'!$F$3:$F$500,'STOCK IN'!$D$3:$D$500,B7,'STOCK IN'!$E$3:$E$500,$L$2)</f>
        <v>0</v>
      </c>
      <c r="N7" s="10">
        <f>SUMIFS('STOCK OUT'!$F$3:$F$9,'STOCK OUT'!$D$3:$D$9,B7,'STOCK OUT'!$E$3:$E$9,$L$2)</f>
        <v>0</v>
      </c>
      <c r="O7" s="10">
        <f t="shared" si="2"/>
        <v>0</v>
      </c>
      <c r="P7" s="10">
        <f t="shared" si="3"/>
        <v>15</v>
      </c>
      <c r="Q7" s="10">
        <f t="shared" si="4"/>
        <v>0</v>
      </c>
      <c r="R7" s="10">
        <f t="shared" si="5"/>
        <v>0</v>
      </c>
      <c r="S7" s="10">
        <f t="shared" si="6"/>
        <v>15</v>
      </c>
      <c r="T7" s="18" t="str">
        <f t="shared" si="7"/>
        <v>300 PCS</v>
      </c>
      <c r="V7" s="11" t="str">
        <f>H2</f>
        <v>GODOWN 2</v>
      </c>
    </row>
    <row r="8" spans="1:23" ht="21" customHeight="1" thickBot="1" x14ac:dyDescent="0.35">
      <c r="A8" s="17">
        <v>4</v>
      </c>
      <c r="B8" s="16" t="s">
        <v>30</v>
      </c>
      <c r="C8" s="10">
        <v>20</v>
      </c>
      <c r="D8" s="10">
        <v>12</v>
      </c>
      <c r="E8" s="10">
        <f>SUMIFS('STOCK IN'!$F$3:$F$500,'STOCK IN'!$D$3:$D$500,B8,'STOCK IN'!$E$3:$E$500,$D$2)</f>
        <v>0</v>
      </c>
      <c r="F8" s="10">
        <f>SUMIFS('STOCK OUT'!$F$3:$F$9,'STOCK OUT'!$D$3:$D$9,B8,'STOCK OUT'!$E$3:$E$9,$D$2)</f>
        <v>2</v>
      </c>
      <c r="G8" s="10">
        <f t="shared" si="0"/>
        <v>10</v>
      </c>
      <c r="H8" s="10">
        <v>0</v>
      </c>
      <c r="I8" s="10">
        <f>SUMIFS('STOCK IN'!$F$3:$F$500,'STOCK IN'!$D$3:$D$500,B8,'STOCK IN'!$E$3:$E$500,$H$2)</f>
        <v>0</v>
      </c>
      <c r="J8" s="10">
        <f>SUMIFS('STOCK OUT'!$F$3:$F$9,'STOCK OUT'!$D$3:$D$9,B8,'STOCK OUT'!$E$3:$E$9,$H$2)</f>
        <v>0</v>
      </c>
      <c r="K8" s="10">
        <f t="shared" si="1"/>
        <v>0</v>
      </c>
      <c r="L8" s="10">
        <v>0</v>
      </c>
      <c r="M8" s="10">
        <f>SUMIFS('STOCK IN'!$F$3:$F$500,'STOCK IN'!$D$3:$D$500,B8,'STOCK IN'!$E$3:$E$500,$L$2)</f>
        <v>0</v>
      </c>
      <c r="N8" s="10">
        <f>SUMIFS('STOCK OUT'!$F$3:$F$9,'STOCK OUT'!$D$3:$D$9,B8,'STOCK OUT'!$E$3:$E$9,$L$2)</f>
        <v>0</v>
      </c>
      <c r="O8" s="10">
        <f t="shared" si="2"/>
        <v>0</v>
      </c>
      <c r="P8" s="10">
        <f t="shared" si="3"/>
        <v>12</v>
      </c>
      <c r="Q8" s="10">
        <f t="shared" si="4"/>
        <v>0</v>
      </c>
      <c r="R8" s="10">
        <f t="shared" si="5"/>
        <v>2</v>
      </c>
      <c r="S8" s="10">
        <f t="shared" si="6"/>
        <v>10</v>
      </c>
      <c r="T8" s="18" t="str">
        <f t="shared" si="7"/>
        <v>200 PCS</v>
      </c>
      <c r="V8" s="11" t="str">
        <f>L2</f>
        <v>GODOWN 3</v>
      </c>
    </row>
    <row r="9" spans="1:23" ht="21" customHeight="1" thickBot="1" x14ac:dyDescent="0.35">
      <c r="A9" s="17">
        <v>5</v>
      </c>
      <c r="B9" s="16" t="s">
        <v>23</v>
      </c>
      <c r="C9" s="10">
        <v>40</v>
      </c>
      <c r="D9" s="10">
        <v>3</v>
      </c>
      <c r="E9" s="10">
        <f>SUMIFS('STOCK IN'!$F$3:$F$500,'STOCK IN'!$D$3:$D$500,B9,'STOCK IN'!$E$3:$E$500,$D$2)</f>
        <v>0</v>
      </c>
      <c r="F9" s="10">
        <f>SUMIFS('STOCK OUT'!$F$3:$F$9,'STOCK OUT'!$D$3:$D$9,B9,'STOCK OUT'!$E$3:$E$9,$D$2)</f>
        <v>0</v>
      </c>
      <c r="G9" s="10">
        <f t="shared" si="0"/>
        <v>3</v>
      </c>
      <c r="H9" s="10">
        <v>0</v>
      </c>
      <c r="I9" s="10">
        <f>SUMIFS('STOCK IN'!$F$3:$F$500,'STOCK IN'!$D$3:$D$500,B9,'STOCK IN'!$E$3:$E$500,$H$2)</f>
        <v>0</v>
      </c>
      <c r="J9" s="10">
        <f>SUMIFS('STOCK OUT'!$F$3:$F$9,'STOCK OUT'!$D$3:$D$9,B9,'STOCK OUT'!$E$3:$E$9,$H$2)</f>
        <v>0</v>
      </c>
      <c r="K9" s="10">
        <f t="shared" si="1"/>
        <v>0</v>
      </c>
      <c r="L9" s="10">
        <v>0</v>
      </c>
      <c r="M9" s="10">
        <f>SUMIFS('STOCK IN'!$F$3:$F$500,'STOCK IN'!$D$3:$D$500,B9,'STOCK IN'!$E$3:$E$500,$L$2)</f>
        <v>0</v>
      </c>
      <c r="N9" s="10">
        <f>SUMIFS('STOCK OUT'!$F$3:$F$9,'STOCK OUT'!$D$3:$D$9,B9,'STOCK OUT'!$E$3:$E$9,$L$2)</f>
        <v>0</v>
      </c>
      <c r="O9" s="10">
        <f t="shared" si="2"/>
        <v>0</v>
      </c>
      <c r="P9" s="10">
        <f t="shared" si="3"/>
        <v>3</v>
      </c>
      <c r="Q9" s="10">
        <f t="shared" si="4"/>
        <v>0</v>
      </c>
      <c r="R9" s="10">
        <f t="shared" si="5"/>
        <v>0</v>
      </c>
      <c r="S9" s="10">
        <f t="shared" si="6"/>
        <v>3</v>
      </c>
      <c r="T9" s="18" t="str">
        <f t="shared" si="7"/>
        <v>120 PCS</v>
      </c>
    </row>
    <row r="10" spans="1:23" ht="21" customHeight="1" thickBot="1" x14ac:dyDescent="0.35">
      <c r="A10" s="17">
        <v>6</v>
      </c>
      <c r="B10" s="16" t="s">
        <v>31</v>
      </c>
      <c r="C10" s="10">
        <v>20</v>
      </c>
      <c r="D10" s="10">
        <v>0</v>
      </c>
      <c r="E10" s="10">
        <f>SUMIFS('STOCK IN'!$F$3:$F$500,'STOCK IN'!$D$3:$D$500,B10,'STOCK IN'!$E$3:$E$500,$D$2)</f>
        <v>0</v>
      </c>
      <c r="F10" s="10">
        <f>SUMIFS('STOCK OUT'!$F$3:$F$9,'STOCK OUT'!$D$3:$D$9,B10,'STOCK OUT'!$E$3:$E$9,$D$2)</f>
        <v>0</v>
      </c>
      <c r="G10" s="10">
        <f t="shared" si="0"/>
        <v>0</v>
      </c>
      <c r="H10" s="10">
        <v>0</v>
      </c>
      <c r="I10" s="10">
        <f>SUMIFS('STOCK IN'!$F$3:$F$500,'STOCK IN'!$D$3:$D$500,B10,'STOCK IN'!$E$3:$E$500,$H$2)</f>
        <v>0</v>
      </c>
      <c r="J10" s="10">
        <f>SUMIFS('STOCK OUT'!$F$3:$F$9,'STOCK OUT'!$D$3:$D$9,B10,'STOCK OUT'!$E$3:$E$9,$H$2)</f>
        <v>0</v>
      </c>
      <c r="K10" s="10">
        <f t="shared" si="1"/>
        <v>0</v>
      </c>
      <c r="L10" s="10">
        <v>19</v>
      </c>
      <c r="M10" s="10">
        <f>SUMIFS('STOCK IN'!$F$3:$F$500,'STOCK IN'!$D$3:$D$500,B10,'STOCK IN'!$E$3:$E$500,$L$2)</f>
        <v>0</v>
      </c>
      <c r="N10" s="10">
        <f>SUMIFS('STOCK OUT'!$F$3:$F$9,'STOCK OUT'!$D$3:$D$9,B10,'STOCK OUT'!$E$3:$E$9,$L$2)</f>
        <v>0</v>
      </c>
      <c r="O10" s="10">
        <f t="shared" si="2"/>
        <v>19</v>
      </c>
      <c r="P10" s="10">
        <f t="shared" si="3"/>
        <v>19</v>
      </c>
      <c r="Q10" s="10">
        <f t="shared" si="4"/>
        <v>0</v>
      </c>
      <c r="R10" s="10">
        <f t="shared" si="5"/>
        <v>0</v>
      </c>
      <c r="S10" s="10">
        <f t="shared" si="6"/>
        <v>19</v>
      </c>
      <c r="T10" s="18" t="str">
        <f t="shared" si="7"/>
        <v>380 PCS</v>
      </c>
    </row>
    <row r="11" spans="1:23" ht="21" customHeight="1" thickBot="1" x14ac:dyDescent="0.35">
      <c r="A11" s="17">
        <v>7</v>
      </c>
      <c r="B11" s="16" t="s">
        <v>32</v>
      </c>
      <c r="C11" s="10">
        <v>20</v>
      </c>
      <c r="D11" s="10">
        <v>0</v>
      </c>
      <c r="E11" s="10">
        <f>SUMIFS('STOCK IN'!$F$3:$F$500,'STOCK IN'!$D$3:$D$500,B11,'STOCK IN'!$E$3:$E$500,$D$2)</f>
        <v>0</v>
      </c>
      <c r="F11" s="10">
        <f>SUMIFS('STOCK OUT'!$F$3:$F$9,'STOCK OUT'!$D$3:$D$9,B11,'STOCK OUT'!$E$3:$E$9,$D$2)</f>
        <v>0</v>
      </c>
      <c r="G11" s="10">
        <f t="shared" si="0"/>
        <v>0</v>
      </c>
      <c r="H11" s="10">
        <v>14</v>
      </c>
      <c r="I11" s="10">
        <f>SUMIFS('STOCK IN'!$F$3:$F$500,'STOCK IN'!$D$3:$D$500,B11,'STOCK IN'!$E$3:$E$500,$H$2)</f>
        <v>0</v>
      </c>
      <c r="J11" s="10">
        <f>SUMIFS('STOCK OUT'!$F$3:$F$9,'STOCK OUT'!$D$3:$D$9,B11,'STOCK OUT'!$E$3:$E$9,$H$2)</f>
        <v>2</v>
      </c>
      <c r="K11" s="10">
        <f t="shared" si="1"/>
        <v>12</v>
      </c>
      <c r="L11" s="10">
        <v>0</v>
      </c>
      <c r="M11" s="10">
        <f>SUMIFS('STOCK IN'!$F$3:$F$500,'STOCK IN'!$D$3:$D$500,B11,'STOCK IN'!$E$3:$E$500,$L$2)</f>
        <v>0</v>
      </c>
      <c r="N11" s="10">
        <f>SUMIFS('STOCK OUT'!$F$3:$F$9,'STOCK OUT'!$D$3:$D$9,B11,'STOCK OUT'!$E$3:$E$9,$L$2)</f>
        <v>0</v>
      </c>
      <c r="O11" s="10">
        <f t="shared" si="2"/>
        <v>0</v>
      </c>
      <c r="P11" s="10">
        <f t="shared" si="3"/>
        <v>14</v>
      </c>
      <c r="Q11" s="10">
        <f t="shared" si="4"/>
        <v>0</v>
      </c>
      <c r="R11" s="10">
        <f t="shared" si="5"/>
        <v>2</v>
      </c>
      <c r="S11" s="10">
        <f t="shared" si="6"/>
        <v>12</v>
      </c>
      <c r="T11" s="18" t="str">
        <f t="shared" si="7"/>
        <v>240 PCS</v>
      </c>
    </row>
    <row r="12" spans="1:23" ht="21" customHeight="1" thickBot="1" x14ac:dyDescent="0.35">
      <c r="A12" s="17">
        <v>8</v>
      </c>
      <c r="B12" s="16" t="s">
        <v>33</v>
      </c>
      <c r="C12" s="10">
        <v>20</v>
      </c>
      <c r="D12" s="10">
        <v>0</v>
      </c>
      <c r="E12" s="10">
        <f>SUMIFS('STOCK IN'!$F$3:$F$500,'STOCK IN'!$D$3:$D$500,B12,'STOCK IN'!$E$3:$E$500,$D$2)</f>
        <v>0</v>
      </c>
      <c r="F12" s="10">
        <f>SUMIFS('STOCK OUT'!$F$3:$F$9,'STOCK OUT'!$D$3:$D$9,B12,'STOCK OUT'!$E$3:$E$9,$D$2)</f>
        <v>0</v>
      </c>
      <c r="G12" s="10">
        <f t="shared" si="0"/>
        <v>0</v>
      </c>
      <c r="H12" s="10">
        <v>0</v>
      </c>
      <c r="I12" s="10">
        <f>SUMIFS('STOCK IN'!$F$3:$F$500,'STOCK IN'!$D$3:$D$500,B12,'STOCK IN'!$E$3:$E$500,$H$2)</f>
        <v>0</v>
      </c>
      <c r="J12" s="10">
        <f>SUMIFS('STOCK OUT'!$F$3:$F$9,'STOCK OUT'!$D$3:$D$9,B12,'STOCK OUT'!$E$3:$E$9,$H$2)</f>
        <v>0</v>
      </c>
      <c r="K12" s="10">
        <f t="shared" si="1"/>
        <v>0</v>
      </c>
      <c r="L12" s="10">
        <v>102</v>
      </c>
      <c r="M12" s="10">
        <f>SUMIFS('STOCK IN'!$F$3:$F$500,'STOCK IN'!$D$3:$D$500,B12,'STOCK IN'!$E$3:$E$500,$L$2)</f>
        <v>0</v>
      </c>
      <c r="N12" s="10">
        <f>SUMIFS('STOCK OUT'!$F$3:$F$9,'STOCK OUT'!$D$3:$D$9,B12,'STOCK OUT'!$E$3:$E$9,$L$2)</f>
        <v>0</v>
      </c>
      <c r="O12" s="10">
        <f t="shared" si="2"/>
        <v>102</v>
      </c>
      <c r="P12" s="10">
        <f t="shared" si="3"/>
        <v>102</v>
      </c>
      <c r="Q12" s="10">
        <f t="shared" si="4"/>
        <v>0</v>
      </c>
      <c r="R12" s="10">
        <f t="shared" si="5"/>
        <v>0</v>
      </c>
      <c r="S12" s="10">
        <f t="shared" si="6"/>
        <v>102</v>
      </c>
      <c r="T12" s="18" t="str">
        <f t="shared" si="7"/>
        <v>2040 PCS</v>
      </c>
    </row>
    <row r="13" spans="1:23" ht="21" customHeight="1" thickBot="1" x14ac:dyDescent="0.35">
      <c r="A13" s="17">
        <v>9</v>
      </c>
      <c r="B13" s="16" t="s">
        <v>34</v>
      </c>
      <c r="C13" s="10">
        <v>20</v>
      </c>
      <c r="D13" s="10">
        <v>0</v>
      </c>
      <c r="E13" s="10">
        <f>SUMIFS('STOCK IN'!$F$3:$F$500,'STOCK IN'!$D$3:$D$500,B13,'STOCK IN'!$E$3:$E$500,$D$2)</f>
        <v>0</v>
      </c>
      <c r="F13" s="10">
        <f>SUMIFS('STOCK OUT'!$F$3:$F$9,'STOCK OUT'!$D$3:$D$9,B13,'STOCK OUT'!$E$3:$E$9,$D$2)</f>
        <v>0</v>
      </c>
      <c r="G13" s="10">
        <f t="shared" si="0"/>
        <v>0</v>
      </c>
      <c r="H13" s="10">
        <v>29</v>
      </c>
      <c r="I13" s="10">
        <f>SUMIFS('STOCK IN'!$F$3:$F$500,'STOCK IN'!$D$3:$D$500,B13,'STOCK IN'!$E$3:$E$500,$H$2)</f>
        <v>0</v>
      </c>
      <c r="J13" s="10">
        <f>SUMIFS('STOCK OUT'!$F$3:$F$9,'STOCK OUT'!$D$3:$D$9,B13,'STOCK OUT'!$E$3:$E$9,$H$2)</f>
        <v>0</v>
      </c>
      <c r="K13" s="10">
        <f t="shared" si="1"/>
        <v>29</v>
      </c>
      <c r="L13" s="10">
        <v>0</v>
      </c>
      <c r="M13" s="10">
        <f>SUMIFS('STOCK IN'!$F$3:$F$500,'STOCK IN'!$D$3:$D$500,B13,'STOCK IN'!$E$3:$E$500,$L$2)</f>
        <v>0</v>
      </c>
      <c r="N13" s="10">
        <f>SUMIFS('STOCK OUT'!$F$3:$F$9,'STOCK OUT'!$D$3:$D$9,B13,'STOCK OUT'!$E$3:$E$9,$L$2)</f>
        <v>0</v>
      </c>
      <c r="O13" s="10">
        <f t="shared" si="2"/>
        <v>0</v>
      </c>
      <c r="P13" s="10">
        <f t="shared" si="3"/>
        <v>29</v>
      </c>
      <c r="Q13" s="10">
        <f t="shared" si="4"/>
        <v>0</v>
      </c>
      <c r="R13" s="10">
        <f t="shared" si="5"/>
        <v>0</v>
      </c>
      <c r="S13" s="10">
        <f t="shared" si="6"/>
        <v>29</v>
      </c>
      <c r="T13" s="18" t="str">
        <f t="shared" si="7"/>
        <v>580 PCS</v>
      </c>
    </row>
    <row r="14" spans="1:23" ht="21" customHeight="1" thickBot="1" x14ac:dyDescent="0.35">
      <c r="A14" s="17">
        <v>10</v>
      </c>
      <c r="B14" s="16" t="s">
        <v>52</v>
      </c>
      <c r="C14" s="10">
        <v>10</v>
      </c>
      <c r="D14" s="10">
        <v>1</v>
      </c>
      <c r="E14" s="10">
        <f>SUMIFS('STOCK IN'!$F$3:$F$500,'STOCK IN'!$D$3:$D$500,B14,'STOCK IN'!$E$3:$E$500,$D$2)</f>
        <v>0</v>
      </c>
      <c r="F14" s="10">
        <f>SUMIFS('STOCK OUT'!$F$3:$F$9,'STOCK OUT'!$D$3:$D$9,B14,'STOCK OUT'!$E$3:$E$9,$D$2)</f>
        <v>0</v>
      </c>
      <c r="G14" s="10">
        <f t="shared" si="0"/>
        <v>1</v>
      </c>
      <c r="H14" s="10">
        <v>0</v>
      </c>
      <c r="I14" s="10">
        <f>SUMIFS('STOCK IN'!$F$3:$F$500,'STOCK IN'!$D$3:$D$500,B14,'STOCK IN'!$E$3:$E$500,$H$2)</f>
        <v>0</v>
      </c>
      <c r="J14" s="10">
        <f>SUMIFS('STOCK OUT'!$F$3:$F$9,'STOCK OUT'!$D$3:$D$9,B14,'STOCK OUT'!$E$3:$E$9,$H$2)</f>
        <v>0</v>
      </c>
      <c r="K14" s="10">
        <f t="shared" si="1"/>
        <v>0</v>
      </c>
      <c r="L14" s="10">
        <v>0</v>
      </c>
      <c r="M14" s="10">
        <f>SUMIFS('STOCK IN'!$F$3:$F$500,'STOCK IN'!$D$3:$D$500,B14,'STOCK IN'!$E$3:$E$500,$L$2)</f>
        <v>0</v>
      </c>
      <c r="N14" s="10">
        <f>SUMIFS('STOCK OUT'!$F$3:$F$9,'STOCK OUT'!$D$3:$D$9,B14,'STOCK OUT'!$E$3:$E$9,$L$2)</f>
        <v>0</v>
      </c>
      <c r="O14" s="10">
        <f t="shared" si="2"/>
        <v>0</v>
      </c>
      <c r="P14" s="10">
        <f t="shared" si="3"/>
        <v>1</v>
      </c>
      <c r="Q14" s="10">
        <f t="shared" si="4"/>
        <v>0</v>
      </c>
      <c r="R14" s="10">
        <f t="shared" si="5"/>
        <v>0</v>
      </c>
      <c r="S14" s="10">
        <f t="shared" si="6"/>
        <v>1</v>
      </c>
      <c r="T14" s="18" t="str">
        <f t="shared" si="7"/>
        <v>10 PCS</v>
      </c>
    </row>
    <row r="15" spans="1:23" ht="21" customHeight="1" thickBot="1" x14ac:dyDescent="0.35">
      <c r="A15" s="17">
        <v>11</v>
      </c>
      <c r="B15" s="16" t="s">
        <v>35</v>
      </c>
      <c r="C15" s="10">
        <v>20</v>
      </c>
      <c r="D15" s="10">
        <v>20</v>
      </c>
      <c r="E15" s="10">
        <f>SUMIFS('STOCK IN'!$F$3:$F$500,'STOCK IN'!$D$3:$D$500,B15,'STOCK IN'!$E$3:$E$500,$D$2)</f>
        <v>0</v>
      </c>
      <c r="F15" s="10">
        <f>SUMIFS('STOCK OUT'!$F$3:$F$9,'STOCK OUT'!$D$3:$D$9,B15,'STOCK OUT'!$E$3:$E$9,$D$2)</f>
        <v>0</v>
      </c>
      <c r="G15" s="10">
        <f t="shared" si="0"/>
        <v>20</v>
      </c>
      <c r="H15" s="10">
        <v>0</v>
      </c>
      <c r="I15" s="10">
        <f>SUMIFS('STOCK IN'!$F$3:$F$500,'STOCK IN'!$D$3:$D$500,B15,'STOCK IN'!$E$3:$E$500,$H$2)</f>
        <v>0</v>
      </c>
      <c r="J15" s="10">
        <f>SUMIFS('STOCK OUT'!$F$3:$F$9,'STOCK OUT'!$D$3:$D$9,B15,'STOCK OUT'!$E$3:$E$9,$H$2)</f>
        <v>0</v>
      </c>
      <c r="K15" s="10">
        <f t="shared" si="1"/>
        <v>0</v>
      </c>
      <c r="L15" s="10">
        <v>0</v>
      </c>
      <c r="M15" s="10">
        <f>SUMIFS('STOCK IN'!$F$3:$F$500,'STOCK IN'!$D$3:$D$500,B15,'STOCK IN'!$E$3:$E$500,$L$2)</f>
        <v>0</v>
      </c>
      <c r="N15" s="10">
        <f>SUMIFS('STOCK OUT'!$F$3:$F$9,'STOCK OUT'!$D$3:$D$9,B15,'STOCK OUT'!$E$3:$E$9,$L$2)</f>
        <v>0</v>
      </c>
      <c r="O15" s="10">
        <f t="shared" si="2"/>
        <v>0</v>
      </c>
      <c r="P15" s="10">
        <f t="shared" si="3"/>
        <v>20</v>
      </c>
      <c r="Q15" s="10">
        <f t="shared" si="4"/>
        <v>0</v>
      </c>
      <c r="R15" s="10">
        <f t="shared" si="5"/>
        <v>0</v>
      </c>
      <c r="S15" s="10">
        <f t="shared" si="6"/>
        <v>20</v>
      </c>
      <c r="T15" s="18" t="str">
        <f t="shared" si="7"/>
        <v>400 PCS</v>
      </c>
    </row>
    <row r="16" spans="1:23" ht="21" customHeight="1" thickBot="1" x14ac:dyDescent="0.35">
      <c r="A16" s="17">
        <v>12</v>
      </c>
      <c r="B16" s="16" t="s">
        <v>36</v>
      </c>
      <c r="C16" s="10">
        <v>20</v>
      </c>
      <c r="D16" s="10">
        <v>0</v>
      </c>
      <c r="E16" s="10">
        <f>SUMIFS('STOCK IN'!$F$3:$F$500,'STOCK IN'!$D$3:$D$500,B16,'STOCK IN'!$E$3:$E$500,$D$2)</f>
        <v>0</v>
      </c>
      <c r="F16" s="10">
        <f>SUMIFS('STOCK OUT'!$F$3:$F$9,'STOCK OUT'!$D$3:$D$9,B16,'STOCK OUT'!$E$3:$E$9,$D$2)</f>
        <v>0</v>
      </c>
      <c r="G16" s="10">
        <f t="shared" si="0"/>
        <v>0</v>
      </c>
      <c r="H16" s="10">
        <v>18</v>
      </c>
      <c r="I16" s="10">
        <f>SUMIFS('STOCK IN'!$F$3:$F$500,'STOCK IN'!$D$3:$D$500,B16,'STOCK IN'!$E$3:$E$500,$H$2)</f>
        <v>0</v>
      </c>
      <c r="J16" s="10">
        <f>SUMIFS('STOCK OUT'!$F$3:$F$9,'STOCK OUT'!$D$3:$D$9,B16,'STOCK OUT'!$E$3:$E$9,$H$2)</f>
        <v>0</v>
      </c>
      <c r="K16" s="10">
        <f t="shared" si="1"/>
        <v>18</v>
      </c>
      <c r="L16" s="10">
        <v>0</v>
      </c>
      <c r="M16" s="10">
        <f>SUMIFS('STOCK IN'!$F$3:$F$500,'STOCK IN'!$D$3:$D$500,B16,'STOCK IN'!$E$3:$E$500,$L$2)</f>
        <v>0</v>
      </c>
      <c r="N16" s="10">
        <f>SUMIFS('STOCK OUT'!$F$3:$F$9,'STOCK OUT'!$D$3:$D$9,B16,'STOCK OUT'!$E$3:$E$9,$L$2)</f>
        <v>0</v>
      </c>
      <c r="O16" s="10">
        <f t="shared" si="2"/>
        <v>0</v>
      </c>
      <c r="P16" s="10">
        <f t="shared" si="3"/>
        <v>18</v>
      </c>
      <c r="Q16" s="10">
        <f t="shared" si="4"/>
        <v>0</v>
      </c>
      <c r="R16" s="10">
        <f t="shared" si="5"/>
        <v>0</v>
      </c>
      <c r="S16" s="10">
        <f t="shared" si="6"/>
        <v>18</v>
      </c>
      <c r="T16" s="18" t="str">
        <f t="shared" si="7"/>
        <v>360 PCS</v>
      </c>
    </row>
    <row r="17" spans="1:20" ht="21" customHeight="1" thickBot="1" x14ac:dyDescent="0.35">
      <c r="A17" s="17">
        <v>13</v>
      </c>
      <c r="B17" s="16" t="s">
        <v>37</v>
      </c>
      <c r="C17" s="10">
        <v>20</v>
      </c>
      <c r="D17" s="10">
        <v>0</v>
      </c>
      <c r="E17" s="10">
        <f>SUMIFS('STOCK IN'!$F$3:$F$500,'STOCK IN'!$D$3:$D$500,B17,'STOCK IN'!$E$3:$E$500,$D$2)</f>
        <v>0</v>
      </c>
      <c r="F17" s="10">
        <f>SUMIFS('STOCK OUT'!$F$3:$F$9,'STOCK OUT'!$D$3:$D$9,B17,'STOCK OUT'!$E$3:$E$9,$D$2)</f>
        <v>0</v>
      </c>
      <c r="G17" s="10">
        <f t="shared" si="0"/>
        <v>0</v>
      </c>
      <c r="H17" s="10">
        <v>0</v>
      </c>
      <c r="I17" s="10">
        <f>SUMIFS('STOCK IN'!$F$3:$F$500,'STOCK IN'!$D$3:$D$500,B17,'STOCK IN'!$E$3:$E$500,$H$2)</f>
        <v>0</v>
      </c>
      <c r="J17" s="10">
        <f>SUMIFS('STOCK OUT'!$F$3:$F$9,'STOCK OUT'!$D$3:$D$9,B17,'STOCK OUT'!$E$3:$E$9,$H$2)</f>
        <v>0</v>
      </c>
      <c r="K17" s="10">
        <f t="shared" si="1"/>
        <v>0</v>
      </c>
      <c r="L17" s="10">
        <v>114</v>
      </c>
      <c r="M17" s="10">
        <f>SUMIFS('STOCK IN'!$F$3:$F$500,'STOCK IN'!$D$3:$D$500,B17,'STOCK IN'!$E$3:$E$500,$L$2)</f>
        <v>0</v>
      </c>
      <c r="N17" s="10">
        <f>SUMIFS('STOCK OUT'!$F$3:$F$9,'STOCK OUT'!$D$3:$D$9,B17,'STOCK OUT'!$E$3:$E$9,$L$2)</f>
        <v>0</v>
      </c>
      <c r="O17" s="10">
        <f t="shared" si="2"/>
        <v>114</v>
      </c>
      <c r="P17" s="10">
        <f t="shared" si="3"/>
        <v>114</v>
      </c>
      <c r="Q17" s="10">
        <f t="shared" si="4"/>
        <v>0</v>
      </c>
      <c r="R17" s="10">
        <f t="shared" si="5"/>
        <v>0</v>
      </c>
      <c r="S17" s="10">
        <f t="shared" si="6"/>
        <v>114</v>
      </c>
      <c r="T17" s="18" t="str">
        <f t="shared" si="7"/>
        <v>2280 PCS</v>
      </c>
    </row>
    <row r="18" spans="1:20" ht="21" customHeight="1" thickBot="1" x14ac:dyDescent="0.35">
      <c r="A18" s="17">
        <v>14</v>
      </c>
      <c r="B18" s="16" t="s">
        <v>38</v>
      </c>
      <c r="C18" s="10">
        <v>20</v>
      </c>
      <c r="D18" s="10">
        <v>0</v>
      </c>
      <c r="E18" s="10">
        <f>SUMIFS('STOCK IN'!$F$3:$F$500,'STOCK IN'!$D$3:$D$500,B18,'STOCK IN'!$E$3:$E$500,$D$2)</f>
        <v>0</v>
      </c>
      <c r="F18" s="10">
        <f>SUMIFS('STOCK OUT'!$F$3:$F$9,'STOCK OUT'!$D$3:$D$9,B18,'STOCK OUT'!$E$3:$E$9,$D$2)</f>
        <v>0</v>
      </c>
      <c r="G18" s="10">
        <f t="shared" si="0"/>
        <v>0</v>
      </c>
      <c r="H18" s="10">
        <v>21</v>
      </c>
      <c r="I18" s="10">
        <f>SUMIFS('STOCK IN'!$F$3:$F$500,'STOCK IN'!$D$3:$D$500,B18,'STOCK IN'!$E$3:$E$500,$H$2)</f>
        <v>0</v>
      </c>
      <c r="J18" s="10">
        <f>SUMIFS('STOCK OUT'!$F$3:$F$9,'STOCK OUT'!$D$3:$D$9,B18,'STOCK OUT'!$E$3:$E$9,$H$2)</f>
        <v>0</v>
      </c>
      <c r="K18" s="10">
        <f t="shared" si="1"/>
        <v>21</v>
      </c>
      <c r="L18" s="10">
        <v>35</v>
      </c>
      <c r="M18" s="10">
        <f>SUMIFS('STOCK IN'!$F$3:$F$500,'STOCK IN'!$D$3:$D$500,B18,'STOCK IN'!$E$3:$E$500,$L$2)</f>
        <v>0</v>
      </c>
      <c r="N18" s="10">
        <f>SUMIFS('STOCK OUT'!$F$3:$F$9,'STOCK OUT'!$D$3:$D$9,B18,'STOCK OUT'!$E$3:$E$9,$L$2)</f>
        <v>0</v>
      </c>
      <c r="O18" s="10">
        <f t="shared" si="2"/>
        <v>35</v>
      </c>
      <c r="P18" s="10">
        <f t="shared" si="3"/>
        <v>56</v>
      </c>
      <c r="Q18" s="10">
        <f t="shared" si="4"/>
        <v>0</v>
      </c>
      <c r="R18" s="10">
        <f t="shared" si="5"/>
        <v>0</v>
      </c>
      <c r="S18" s="10">
        <f t="shared" si="6"/>
        <v>56</v>
      </c>
      <c r="T18" s="18" t="str">
        <f t="shared" si="7"/>
        <v>1120 PCS</v>
      </c>
    </row>
    <row r="19" spans="1:20" ht="21" customHeight="1" thickBot="1" x14ac:dyDescent="0.35">
      <c r="A19" s="17">
        <v>15</v>
      </c>
      <c r="B19" s="16" t="s">
        <v>39</v>
      </c>
      <c r="C19" s="10">
        <v>20</v>
      </c>
      <c r="D19" s="10">
        <v>20</v>
      </c>
      <c r="E19" s="10">
        <f>SUMIFS('STOCK IN'!$F$3:$F$500,'STOCK IN'!$D$3:$D$500,B19,'STOCK IN'!$E$3:$E$500,$D$2)</f>
        <v>0</v>
      </c>
      <c r="F19" s="10">
        <f>SUMIFS('STOCK OUT'!$F$3:$F$9,'STOCK OUT'!$D$3:$D$9,B19,'STOCK OUT'!$E$3:$E$9,$D$2)</f>
        <v>1</v>
      </c>
      <c r="G19" s="10">
        <f t="shared" si="0"/>
        <v>19</v>
      </c>
      <c r="H19" s="10">
        <v>0</v>
      </c>
      <c r="I19" s="10">
        <f>SUMIFS('STOCK IN'!$F$3:$F$500,'STOCK IN'!$D$3:$D$500,B19,'STOCK IN'!$E$3:$E$500,$H$2)</f>
        <v>0</v>
      </c>
      <c r="J19" s="10">
        <f>SUMIFS('STOCK OUT'!$F$3:$F$9,'STOCK OUT'!$D$3:$D$9,B19,'STOCK OUT'!$E$3:$E$9,$H$2)</f>
        <v>0</v>
      </c>
      <c r="K19" s="10">
        <f t="shared" si="1"/>
        <v>0</v>
      </c>
      <c r="L19" s="10">
        <v>0</v>
      </c>
      <c r="M19" s="10">
        <f>SUMIFS('STOCK IN'!$F$3:$F$500,'STOCK IN'!$D$3:$D$500,B19,'STOCK IN'!$E$3:$E$500,$L$2)</f>
        <v>0</v>
      </c>
      <c r="N19" s="10">
        <f>SUMIFS('STOCK OUT'!$F$3:$F$9,'STOCK OUT'!$D$3:$D$9,B19,'STOCK OUT'!$E$3:$E$9,$L$2)</f>
        <v>0</v>
      </c>
      <c r="O19" s="10">
        <f t="shared" si="2"/>
        <v>0</v>
      </c>
      <c r="P19" s="10">
        <f t="shared" si="3"/>
        <v>20</v>
      </c>
      <c r="Q19" s="10">
        <f t="shared" si="4"/>
        <v>0</v>
      </c>
      <c r="R19" s="10">
        <f t="shared" si="5"/>
        <v>1</v>
      </c>
      <c r="S19" s="10">
        <f t="shared" si="6"/>
        <v>19</v>
      </c>
      <c r="T19" s="18" t="str">
        <f t="shared" si="7"/>
        <v>380 PCS</v>
      </c>
    </row>
    <row r="20" spans="1:20" ht="21" customHeight="1" thickBot="1" x14ac:dyDescent="0.35">
      <c r="A20" s="17">
        <v>16</v>
      </c>
      <c r="B20" s="16" t="s">
        <v>40</v>
      </c>
      <c r="C20" s="10">
        <v>20</v>
      </c>
      <c r="D20" s="10">
        <v>23</v>
      </c>
      <c r="E20" s="10">
        <f>SUMIFS('STOCK IN'!$F$3:$F$500,'STOCK IN'!$D$3:$D$500,B20,'STOCK IN'!$E$3:$E$500,$D$2)</f>
        <v>0</v>
      </c>
      <c r="F20" s="10">
        <f>SUMIFS('STOCK OUT'!$F$3:$F$9,'STOCK OUT'!$D$3:$D$9,B20,'STOCK OUT'!$E$3:$E$9,$D$2)</f>
        <v>0</v>
      </c>
      <c r="G20" s="10">
        <f t="shared" si="0"/>
        <v>23</v>
      </c>
      <c r="H20" s="10">
        <v>0</v>
      </c>
      <c r="I20" s="10">
        <f>SUMIFS('STOCK IN'!$F$3:$F$500,'STOCK IN'!$D$3:$D$500,B20,'STOCK IN'!$E$3:$E$500,$H$2)</f>
        <v>0</v>
      </c>
      <c r="J20" s="10">
        <f>SUMIFS('STOCK OUT'!$F$3:$F$9,'STOCK OUT'!$D$3:$D$9,B20,'STOCK OUT'!$E$3:$E$9,$H$2)</f>
        <v>0</v>
      </c>
      <c r="K20" s="10">
        <f t="shared" si="1"/>
        <v>0</v>
      </c>
      <c r="L20" s="10">
        <v>0</v>
      </c>
      <c r="M20" s="10">
        <f>SUMIFS('STOCK IN'!$F$3:$F$500,'STOCK IN'!$D$3:$D$500,B20,'STOCK IN'!$E$3:$E$500,$L$2)</f>
        <v>0</v>
      </c>
      <c r="N20" s="10">
        <f>SUMIFS('STOCK OUT'!$F$3:$F$9,'STOCK OUT'!$D$3:$D$9,B20,'STOCK OUT'!$E$3:$E$9,$L$2)</f>
        <v>0</v>
      </c>
      <c r="O20" s="10">
        <f t="shared" si="2"/>
        <v>0</v>
      </c>
      <c r="P20" s="10">
        <f t="shared" si="3"/>
        <v>23</v>
      </c>
      <c r="Q20" s="10">
        <f t="shared" si="4"/>
        <v>0</v>
      </c>
      <c r="R20" s="10">
        <f t="shared" si="5"/>
        <v>0</v>
      </c>
      <c r="S20" s="10">
        <f t="shared" si="6"/>
        <v>23</v>
      </c>
      <c r="T20" s="18" t="str">
        <f t="shared" si="7"/>
        <v>460 PCS</v>
      </c>
    </row>
    <row r="21" spans="1:20" ht="21" customHeight="1" thickBot="1" x14ac:dyDescent="0.35">
      <c r="A21" s="17">
        <v>17</v>
      </c>
      <c r="B21" s="16" t="s">
        <v>41</v>
      </c>
      <c r="C21" s="10">
        <v>20</v>
      </c>
      <c r="D21" s="10">
        <v>0</v>
      </c>
      <c r="E21" s="10">
        <f>SUMIFS('STOCK IN'!$F$3:$F$500,'STOCK IN'!$D$3:$D$500,B21,'STOCK IN'!$E$3:$E$500,$D$2)</f>
        <v>0</v>
      </c>
      <c r="F21" s="10">
        <f>SUMIFS('STOCK OUT'!$F$3:$F$9,'STOCK OUT'!$D$3:$D$9,B21,'STOCK OUT'!$E$3:$E$9,$D$2)</f>
        <v>0</v>
      </c>
      <c r="G21" s="10">
        <f t="shared" si="0"/>
        <v>0</v>
      </c>
      <c r="H21" s="10">
        <v>0</v>
      </c>
      <c r="I21" s="10">
        <f>SUMIFS('STOCK IN'!$F$3:$F$500,'STOCK IN'!$D$3:$D$500,B21,'STOCK IN'!$E$3:$E$500,$H$2)</f>
        <v>0</v>
      </c>
      <c r="J21" s="10">
        <f>SUMIFS('STOCK OUT'!$F$3:$F$9,'STOCK OUT'!$D$3:$D$9,B21,'STOCK OUT'!$E$3:$E$9,$H$2)</f>
        <v>0</v>
      </c>
      <c r="K21" s="10">
        <f t="shared" si="1"/>
        <v>0</v>
      </c>
      <c r="L21" s="10">
        <v>54</v>
      </c>
      <c r="M21" s="10">
        <f>SUMIFS('STOCK IN'!$F$3:$F$500,'STOCK IN'!$D$3:$D$500,B21,'STOCK IN'!$E$3:$E$500,$L$2)</f>
        <v>0</v>
      </c>
      <c r="N21" s="10">
        <f>SUMIFS('STOCK OUT'!$F$3:$F$9,'STOCK OUT'!$D$3:$D$9,B21,'STOCK OUT'!$E$3:$E$9,$L$2)</f>
        <v>10</v>
      </c>
      <c r="O21" s="10">
        <f t="shared" si="2"/>
        <v>44</v>
      </c>
      <c r="P21" s="10">
        <f t="shared" si="3"/>
        <v>54</v>
      </c>
      <c r="Q21" s="10">
        <f t="shared" si="4"/>
        <v>0</v>
      </c>
      <c r="R21" s="10">
        <f t="shared" si="5"/>
        <v>10</v>
      </c>
      <c r="S21" s="10">
        <f t="shared" si="6"/>
        <v>44</v>
      </c>
      <c r="T21" s="18" t="str">
        <f t="shared" si="7"/>
        <v>880 PCS</v>
      </c>
    </row>
    <row r="22" spans="1:20" ht="21" customHeight="1" thickBot="1" x14ac:dyDescent="0.35">
      <c r="A22" s="17">
        <v>18</v>
      </c>
      <c r="B22" s="16" t="s">
        <v>42</v>
      </c>
      <c r="C22" s="10">
        <v>20</v>
      </c>
      <c r="D22" s="10">
        <v>0</v>
      </c>
      <c r="E22" s="10">
        <f>SUMIFS('STOCK IN'!$F$3:$F$500,'STOCK IN'!$D$3:$D$500,B22,'STOCK IN'!$E$3:$E$500,$D$2)</f>
        <v>0</v>
      </c>
      <c r="F22" s="10">
        <f>SUMIFS('STOCK OUT'!$F$3:$F$9,'STOCK OUT'!$D$3:$D$9,B22,'STOCK OUT'!$E$3:$E$9,$D$2)</f>
        <v>0</v>
      </c>
      <c r="G22" s="10">
        <f t="shared" si="0"/>
        <v>0</v>
      </c>
      <c r="H22" s="10">
        <v>5</v>
      </c>
      <c r="I22" s="10">
        <f>SUMIFS('STOCK IN'!$F$3:$F$500,'STOCK IN'!$D$3:$D$500,B22,'STOCK IN'!$E$3:$E$500,$H$2)</f>
        <v>0</v>
      </c>
      <c r="J22" s="10">
        <f>SUMIFS('STOCK OUT'!$F$3:$F$9,'STOCK OUT'!$D$3:$D$9,B22,'STOCK OUT'!$E$3:$E$9,$H$2)</f>
        <v>0</v>
      </c>
      <c r="K22" s="10">
        <f t="shared" si="1"/>
        <v>5</v>
      </c>
      <c r="L22" s="10">
        <v>0</v>
      </c>
      <c r="M22" s="10">
        <f>SUMIFS('STOCK IN'!$F$3:$F$500,'STOCK IN'!$D$3:$D$500,B22,'STOCK IN'!$E$3:$E$500,$L$2)</f>
        <v>0</v>
      </c>
      <c r="N22" s="10">
        <f>SUMIFS('STOCK OUT'!$F$3:$F$9,'STOCK OUT'!$D$3:$D$9,B22,'STOCK OUT'!$E$3:$E$9,$L$2)</f>
        <v>0</v>
      </c>
      <c r="O22" s="10">
        <f t="shared" si="2"/>
        <v>0</v>
      </c>
      <c r="P22" s="10">
        <f t="shared" si="3"/>
        <v>5</v>
      </c>
      <c r="Q22" s="10">
        <f t="shared" si="4"/>
        <v>0</v>
      </c>
      <c r="R22" s="10">
        <f t="shared" si="5"/>
        <v>0</v>
      </c>
      <c r="S22" s="10">
        <f t="shared" si="6"/>
        <v>5</v>
      </c>
      <c r="T22" s="18" t="str">
        <f t="shared" si="7"/>
        <v>100 PCS</v>
      </c>
    </row>
    <row r="23" spans="1:20" ht="21" customHeight="1" thickBot="1" x14ac:dyDescent="0.35">
      <c r="A23" s="17">
        <v>19</v>
      </c>
      <c r="B23" s="16" t="s">
        <v>43</v>
      </c>
      <c r="C23" s="10">
        <v>20</v>
      </c>
      <c r="D23" s="10">
        <v>0</v>
      </c>
      <c r="E23" s="10">
        <f>SUMIFS('STOCK IN'!$F$3:$F$500,'STOCK IN'!$D$3:$D$500,B23,'STOCK IN'!$E$3:$E$500,$D$2)</f>
        <v>0</v>
      </c>
      <c r="F23" s="10">
        <f>SUMIFS('STOCK OUT'!$F$3:$F$9,'STOCK OUT'!$D$3:$D$9,B23,'STOCK OUT'!$E$3:$E$9,$D$2)</f>
        <v>0</v>
      </c>
      <c r="G23" s="10">
        <f t="shared" si="0"/>
        <v>0</v>
      </c>
      <c r="H23" s="10">
        <v>11</v>
      </c>
      <c r="I23" s="10">
        <f>SUMIFS('STOCK IN'!$F$3:$F$500,'STOCK IN'!$D$3:$D$500,B23,'STOCK IN'!$E$3:$E$500,$H$2)</f>
        <v>0</v>
      </c>
      <c r="J23" s="10">
        <f>SUMIFS('STOCK OUT'!$F$3:$F$9,'STOCK OUT'!$D$3:$D$9,B23,'STOCK OUT'!$E$3:$E$9,$H$2)</f>
        <v>5</v>
      </c>
      <c r="K23" s="10">
        <f t="shared" si="1"/>
        <v>6</v>
      </c>
      <c r="L23" s="10">
        <v>0</v>
      </c>
      <c r="M23" s="10">
        <f>SUMIFS('STOCK IN'!$F$3:$F$500,'STOCK IN'!$D$3:$D$500,B23,'STOCK IN'!$E$3:$E$500,$L$2)</f>
        <v>0</v>
      </c>
      <c r="N23" s="10">
        <f>SUMIFS('STOCK OUT'!$F$3:$F$9,'STOCK OUT'!$D$3:$D$9,B23,'STOCK OUT'!$E$3:$E$9,$L$2)</f>
        <v>0</v>
      </c>
      <c r="O23" s="10">
        <f t="shared" si="2"/>
        <v>0</v>
      </c>
      <c r="P23" s="10">
        <f t="shared" si="3"/>
        <v>11</v>
      </c>
      <c r="Q23" s="10">
        <f t="shared" si="4"/>
        <v>0</v>
      </c>
      <c r="R23" s="10">
        <f t="shared" si="5"/>
        <v>5</v>
      </c>
      <c r="S23" s="10">
        <f t="shared" si="6"/>
        <v>6</v>
      </c>
      <c r="T23" s="18" t="str">
        <f t="shared" si="7"/>
        <v>120 PCS</v>
      </c>
    </row>
    <row r="24" spans="1:20" ht="21" customHeight="1" thickBot="1" x14ac:dyDescent="0.35">
      <c r="A24" s="17">
        <v>20</v>
      </c>
      <c r="B24" s="16" t="s">
        <v>24</v>
      </c>
      <c r="C24" s="10">
        <v>40</v>
      </c>
      <c r="D24" s="10">
        <v>5</v>
      </c>
      <c r="E24" s="10">
        <f>SUMIFS('STOCK IN'!$F$3:$F$500,'STOCK IN'!$D$3:$D$500,B24,'STOCK IN'!$E$3:$E$500,$D$2)</f>
        <v>0</v>
      </c>
      <c r="F24" s="10">
        <f>SUMIFS('STOCK OUT'!$F$3:$F$9,'STOCK OUT'!$D$3:$D$9,B24,'STOCK OUT'!$E$3:$E$9,$D$2)</f>
        <v>0</v>
      </c>
      <c r="G24" s="10">
        <f t="shared" si="0"/>
        <v>5</v>
      </c>
      <c r="H24" s="10">
        <v>0</v>
      </c>
      <c r="I24" s="10">
        <f>SUMIFS('STOCK IN'!$F$3:$F$500,'STOCK IN'!$D$3:$D$500,B24,'STOCK IN'!$E$3:$E$500,$H$2)</f>
        <v>0</v>
      </c>
      <c r="J24" s="10">
        <f>SUMIFS('STOCK OUT'!$F$3:$F$9,'STOCK OUT'!$D$3:$D$9,B24,'STOCK OUT'!$E$3:$E$9,$H$2)</f>
        <v>0</v>
      </c>
      <c r="K24" s="10">
        <f t="shared" si="1"/>
        <v>0</v>
      </c>
      <c r="L24" s="10">
        <v>0</v>
      </c>
      <c r="M24" s="10">
        <f>SUMIFS('STOCK IN'!$F$3:$F$500,'STOCK IN'!$D$3:$D$500,B24,'STOCK IN'!$E$3:$E$500,$L$2)</f>
        <v>0</v>
      </c>
      <c r="N24" s="10">
        <f>SUMIFS('STOCK OUT'!$F$3:$F$9,'STOCK OUT'!$D$3:$D$9,B24,'STOCK OUT'!$E$3:$E$9,$L$2)</f>
        <v>0</v>
      </c>
      <c r="O24" s="10">
        <f t="shared" si="2"/>
        <v>0</v>
      </c>
      <c r="P24" s="10">
        <f t="shared" si="3"/>
        <v>5</v>
      </c>
      <c r="Q24" s="10">
        <f t="shared" si="4"/>
        <v>0</v>
      </c>
      <c r="R24" s="10">
        <f t="shared" si="5"/>
        <v>0</v>
      </c>
      <c r="S24" s="10">
        <f t="shared" si="6"/>
        <v>5</v>
      </c>
      <c r="T24" s="18" t="str">
        <f t="shared" si="7"/>
        <v>200 PCS</v>
      </c>
    </row>
    <row r="25" spans="1:20" ht="21" customHeight="1" thickBot="1" x14ac:dyDescent="0.35">
      <c r="A25" s="17">
        <v>21</v>
      </c>
      <c r="B25" s="16" t="s">
        <v>44</v>
      </c>
      <c r="C25" s="10">
        <v>20</v>
      </c>
      <c r="D25" s="10">
        <v>0</v>
      </c>
      <c r="E25" s="10">
        <f>SUMIFS('STOCK IN'!$F$3:$F$500,'STOCK IN'!$D$3:$D$500,B25,'STOCK IN'!$E$3:$E$500,$D$2)</f>
        <v>0</v>
      </c>
      <c r="F25" s="10">
        <f>SUMIFS('STOCK OUT'!$F$3:$F$9,'STOCK OUT'!$D$3:$D$9,B25,'STOCK OUT'!$E$3:$E$9,$D$2)</f>
        <v>0</v>
      </c>
      <c r="G25" s="10">
        <f t="shared" si="0"/>
        <v>0</v>
      </c>
      <c r="H25" s="10">
        <v>22</v>
      </c>
      <c r="I25" s="10">
        <f>SUMIFS('STOCK IN'!$F$3:$F$500,'STOCK IN'!$D$3:$D$500,B25,'STOCK IN'!$E$3:$E$500,$H$2)</f>
        <v>0</v>
      </c>
      <c r="J25" s="10">
        <f>SUMIFS('STOCK OUT'!$F$3:$F$9,'STOCK OUT'!$D$3:$D$9,B25,'STOCK OUT'!$E$3:$E$9,$H$2)</f>
        <v>0</v>
      </c>
      <c r="K25" s="10">
        <f t="shared" si="1"/>
        <v>22</v>
      </c>
      <c r="L25" s="10">
        <v>0</v>
      </c>
      <c r="M25" s="10">
        <f>SUMIFS('STOCK IN'!$F$3:$F$500,'STOCK IN'!$D$3:$D$500,B25,'STOCK IN'!$E$3:$E$500,$L$2)</f>
        <v>0</v>
      </c>
      <c r="N25" s="10">
        <f>SUMIFS('STOCK OUT'!$F$3:$F$9,'STOCK OUT'!$D$3:$D$9,B25,'STOCK OUT'!$E$3:$E$9,$L$2)</f>
        <v>0</v>
      </c>
      <c r="O25" s="10">
        <f t="shared" si="2"/>
        <v>0</v>
      </c>
      <c r="P25" s="10">
        <f t="shared" si="3"/>
        <v>22</v>
      </c>
      <c r="Q25" s="10">
        <f t="shared" si="4"/>
        <v>0</v>
      </c>
      <c r="R25" s="10">
        <f t="shared" si="5"/>
        <v>0</v>
      </c>
      <c r="S25" s="10">
        <f t="shared" si="6"/>
        <v>22</v>
      </c>
      <c r="T25" s="18" t="str">
        <f t="shared" si="7"/>
        <v>440 PCS</v>
      </c>
    </row>
    <row r="26" spans="1:20" ht="21" customHeight="1" thickBot="1" x14ac:dyDescent="0.35">
      <c r="A26" s="17">
        <v>22</v>
      </c>
      <c r="B26" s="16" t="s">
        <v>51</v>
      </c>
      <c r="C26" s="10">
        <v>10</v>
      </c>
      <c r="D26" s="10">
        <v>0</v>
      </c>
      <c r="E26" s="10">
        <f>SUMIFS('STOCK IN'!$F$3:$F$500,'STOCK IN'!$D$3:$D$500,B26,'STOCK IN'!$E$3:$E$500,$D$2)</f>
        <v>0</v>
      </c>
      <c r="F26" s="10">
        <f>SUMIFS('STOCK OUT'!$F$3:$F$9,'STOCK OUT'!$D$3:$D$9,B26,'STOCK OUT'!$E$3:$E$9,$D$2)</f>
        <v>0</v>
      </c>
      <c r="G26" s="10">
        <f t="shared" si="0"/>
        <v>0</v>
      </c>
      <c r="H26" s="10">
        <v>1</v>
      </c>
      <c r="I26" s="10">
        <f>SUMIFS('STOCK IN'!$F$3:$F$500,'STOCK IN'!$D$3:$D$500,B26,'STOCK IN'!$E$3:$E$500,$H$2)</f>
        <v>0</v>
      </c>
      <c r="J26" s="10">
        <f>SUMIFS('STOCK OUT'!$F$3:$F$9,'STOCK OUT'!$D$3:$D$9,B26,'STOCK OUT'!$E$3:$E$9,$H$2)</f>
        <v>0</v>
      </c>
      <c r="K26" s="10">
        <f t="shared" si="1"/>
        <v>1</v>
      </c>
      <c r="L26" s="10">
        <v>0</v>
      </c>
      <c r="M26" s="10">
        <f>SUMIFS('STOCK IN'!$F$3:$F$500,'STOCK IN'!$D$3:$D$500,B26,'STOCK IN'!$E$3:$E$500,$L$2)</f>
        <v>0</v>
      </c>
      <c r="N26" s="10">
        <f>SUMIFS('STOCK OUT'!$F$3:$F$9,'STOCK OUT'!$D$3:$D$9,B26,'STOCK OUT'!$E$3:$E$9,$L$2)</f>
        <v>0</v>
      </c>
      <c r="O26" s="10">
        <f t="shared" si="2"/>
        <v>0</v>
      </c>
      <c r="P26" s="10">
        <f t="shared" si="3"/>
        <v>1</v>
      </c>
      <c r="Q26" s="10">
        <f t="shared" si="4"/>
        <v>0</v>
      </c>
      <c r="R26" s="10">
        <f t="shared" si="5"/>
        <v>0</v>
      </c>
      <c r="S26" s="10">
        <f t="shared" si="6"/>
        <v>1</v>
      </c>
      <c r="T26" s="18" t="str">
        <f t="shared" si="7"/>
        <v>10 PCS</v>
      </c>
    </row>
    <row r="27" spans="1:20" ht="21" customHeight="1" thickBot="1" x14ac:dyDescent="0.35">
      <c r="A27" s="17">
        <v>23</v>
      </c>
      <c r="B27" s="16" t="s">
        <v>45</v>
      </c>
      <c r="C27" s="10">
        <v>20</v>
      </c>
      <c r="D27" s="10">
        <v>0</v>
      </c>
      <c r="E27" s="10">
        <f>SUMIFS('STOCK IN'!$F$3:$F$500,'STOCK IN'!$D$3:$D$500,B27,'STOCK IN'!$E$3:$E$500,$D$2)</f>
        <v>0</v>
      </c>
      <c r="F27" s="10">
        <f>SUMIFS('STOCK OUT'!$F$3:$F$9,'STOCK OUT'!$D$3:$D$9,B27,'STOCK OUT'!$E$3:$E$9,$D$2)</f>
        <v>0</v>
      </c>
      <c r="G27" s="10">
        <f t="shared" si="0"/>
        <v>0</v>
      </c>
      <c r="H27" s="10">
        <v>83</v>
      </c>
      <c r="I27" s="10">
        <f>SUMIFS('STOCK IN'!$F$3:$F$500,'STOCK IN'!$D$3:$D$500,B27,'STOCK IN'!$E$3:$E$500,$H$2)</f>
        <v>0</v>
      </c>
      <c r="J27" s="10">
        <f>SUMIFS('STOCK OUT'!$F$3:$F$9,'STOCK OUT'!$D$3:$D$9,B27,'STOCK OUT'!$E$3:$E$9,$H$2)</f>
        <v>10</v>
      </c>
      <c r="K27" s="10">
        <f t="shared" si="1"/>
        <v>73</v>
      </c>
      <c r="L27" s="10">
        <v>0</v>
      </c>
      <c r="M27" s="10">
        <f>SUMIFS('STOCK IN'!$F$3:$F$500,'STOCK IN'!$D$3:$D$500,B27,'STOCK IN'!$E$3:$E$500,$L$2)</f>
        <v>0</v>
      </c>
      <c r="N27" s="10">
        <f>SUMIFS('STOCK OUT'!$F$3:$F$9,'STOCK OUT'!$D$3:$D$9,B27,'STOCK OUT'!$E$3:$E$9,$L$2)</f>
        <v>0</v>
      </c>
      <c r="O27" s="10">
        <f t="shared" si="2"/>
        <v>0</v>
      </c>
      <c r="P27" s="10">
        <f t="shared" si="3"/>
        <v>83</v>
      </c>
      <c r="Q27" s="10">
        <f t="shared" si="4"/>
        <v>0</v>
      </c>
      <c r="R27" s="10">
        <f t="shared" si="5"/>
        <v>10</v>
      </c>
      <c r="S27" s="10">
        <f t="shared" si="6"/>
        <v>73</v>
      </c>
      <c r="T27" s="18" t="str">
        <f t="shared" si="7"/>
        <v>1460 PCS</v>
      </c>
    </row>
    <row r="28" spans="1:20" ht="21" customHeight="1" thickBot="1" x14ac:dyDescent="0.35">
      <c r="A28" s="17">
        <v>24</v>
      </c>
      <c r="B28" s="16" t="s">
        <v>49</v>
      </c>
      <c r="C28" s="10">
        <v>25</v>
      </c>
      <c r="D28" s="10">
        <v>20</v>
      </c>
      <c r="E28" s="10">
        <f>SUMIFS('STOCK IN'!$F$3:$F$500,'STOCK IN'!$D$3:$D$500,B28,'STOCK IN'!$E$3:$E$500,$D$2)</f>
        <v>0</v>
      </c>
      <c r="F28" s="10">
        <f>SUMIFS('STOCK OUT'!$F$3:$F$9,'STOCK OUT'!$D$3:$D$9,B28,'STOCK OUT'!$E$3:$E$9,$D$2)</f>
        <v>0</v>
      </c>
      <c r="G28" s="10">
        <f t="shared" si="0"/>
        <v>20</v>
      </c>
      <c r="H28" s="10">
        <v>0</v>
      </c>
      <c r="I28" s="10">
        <f>SUMIFS('STOCK IN'!$F$3:$F$500,'STOCK IN'!$D$3:$D$500,B28,'STOCK IN'!$E$3:$E$500,$H$2)</f>
        <v>0</v>
      </c>
      <c r="J28" s="10">
        <f>SUMIFS('STOCK OUT'!$F$3:$F$9,'STOCK OUT'!$D$3:$D$9,B28,'STOCK OUT'!$E$3:$E$9,$H$2)</f>
        <v>0</v>
      </c>
      <c r="K28" s="10">
        <f t="shared" si="1"/>
        <v>0</v>
      </c>
      <c r="L28" s="10">
        <v>0</v>
      </c>
      <c r="M28" s="10">
        <f>SUMIFS('STOCK IN'!$F$3:$F$500,'STOCK IN'!$D$3:$D$500,B28,'STOCK IN'!$E$3:$E$500,$L$2)</f>
        <v>0</v>
      </c>
      <c r="N28" s="10">
        <f>SUMIFS('STOCK OUT'!$F$3:$F$9,'STOCK OUT'!$D$3:$D$9,B28,'STOCK OUT'!$E$3:$E$9,$L$2)</f>
        <v>0</v>
      </c>
      <c r="O28" s="10">
        <f t="shared" si="2"/>
        <v>0</v>
      </c>
      <c r="P28" s="10">
        <f t="shared" si="3"/>
        <v>20</v>
      </c>
      <c r="Q28" s="10">
        <f t="shared" si="4"/>
        <v>0</v>
      </c>
      <c r="R28" s="10">
        <f t="shared" si="5"/>
        <v>0</v>
      </c>
      <c r="S28" s="10">
        <f t="shared" si="6"/>
        <v>20</v>
      </c>
      <c r="T28" s="18" t="str">
        <f t="shared" si="7"/>
        <v>500 PCS</v>
      </c>
    </row>
    <row r="29" spans="1:20" ht="21" customHeight="1" thickBot="1" x14ac:dyDescent="0.35">
      <c r="A29" s="17">
        <v>25</v>
      </c>
      <c r="B29" s="16" t="s">
        <v>46</v>
      </c>
      <c r="C29" s="10">
        <v>20</v>
      </c>
      <c r="D29" s="10">
        <v>0</v>
      </c>
      <c r="E29" s="10">
        <f>SUMIFS('STOCK IN'!$F$3:$F$500,'STOCK IN'!$D$3:$D$500,B29,'STOCK IN'!$E$3:$E$500,$D$2)</f>
        <v>0</v>
      </c>
      <c r="F29" s="10">
        <f>SUMIFS('STOCK OUT'!$F$3:$F$9,'STOCK OUT'!$D$3:$D$9,B29,'STOCK OUT'!$E$3:$E$9,$D$2)</f>
        <v>0</v>
      </c>
      <c r="G29" s="10">
        <f t="shared" si="0"/>
        <v>0</v>
      </c>
      <c r="H29" s="10">
        <v>49</v>
      </c>
      <c r="I29" s="10">
        <f>SUMIFS('STOCK IN'!$F$3:$F$500,'STOCK IN'!$D$3:$D$500,B29,'STOCK IN'!$E$3:$E$500,$H$2)</f>
        <v>0</v>
      </c>
      <c r="J29" s="10">
        <f>SUMIFS('STOCK OUT'!$F$3:$F$9,'STOCK OUT'!$D$3:$D$9,B29,'STOCK OUT'!$E$3:$E$9,$H$2)</f>
        <v>0</v>
      </c>
      <c r="K29" s="10">
        <f t="shared" si="1"/>
        <v>49</v>
      </c>
      <c r="L29" s="10">
        <v>50</v>
      </c>
      <c r="M29" s="10">
        <f>SUMIFS('STOCK IN'!$F$3:$F$500,'STOCK IN'!$D$3:$D$500,B29,'STOCK IN'!$E$3:$E$500,$L$2)</f>
        <v>0</v>
      </c>
      <c r="N29" s="10">
        <f>SUMIFS('STOCK OUT'!$F$3:$F$9,'STOCK OUT'!$D$3:$D$9,B29,'STOCK OUT'!$E$3:$E$9,$L$2)</f>
        <v>0</v>
      </c>
      <c r="O29" s="10">
        <f t="shared" si="2"/>
        <v>50</v>
      </c>
      <c r="P29" s="10">
        <f t="shared" si="3"/>
        <v>99</v>
      </c>
      <c r="Q29" s="10">
        <f t="shared" si="4"/>
        <v>0</v>
      </c>
      <c r="R29" s="10">
        <f t="shared" si="5"/>
        <v>0</v>
      </c>
      <c r="S29" s="10">
        <f t="shared" si="6"/>
        <v>99</v>
      </c>
      <c r="T29" s="18" t="str">
        <f t="shared" si="7"/>
        <v>1980 PCS</v>
      </c>
    </row>
    <row r="30" spans="1:20" ht="21" customHeight="1" thickBot="1" x14ac:dyDescent="0.35">
      <c r="A30" s="17">
        <v>26</v>
      </c>
      <c r="B30" s="16" t="s">
        <v>47</v>
      </c>
      <c r="C30" s="10">
        <v>20</v>
      </c>
      <c r="D30" s="10">
        <v>0</v>
      </c>
      <c r="E30" s="10">
        <f>SUMIFS('STOCK IN'!$F$3:$F$500,'STOCK IN'!$D$3:$D$500,B30,'STOCK IN'!$E$3:$E$500,$D$2)</f>
        <v>0</v>
      </c>
      <c r="F30" s="10">
        <f>SUMIFS('STOCK OUT'!$F$3:$F$9,'STOCK OUT'!$D$3:$D$9,B30,'STOCK OUT'!$E$3:$E$9,$D$2)</f>
        <v>0</v>
      </c>
      <c r="G30" s="10">
        <f t="shared" si="0"/>
        <v>0</v>
      </c>
      <c r="H30" s="10">
        <v>5</v>
      </c>
      <c r="I30" s="10">
        <f>SUMIFS('STOCK IN'!$F$3:$F$500,'STOCK IN'!$D$3:$D$500,B30,'STOCK IN'!$E$3:$E$500,$H$2)</f>
        <v>0</v>
      </c>
      <c r="J30" s="10">
        <f>SUMIFS('STOCK OUT'!$F$3:$F$9,'STOCK OUT'!$D$3:$D$9,B30,'STOCK OUT'!$E$3:$E$9,$H$2)</f>
        <v>0</v>
      </c>
      <c r="K30" s="10">
        <f t="shared" si="1"/>
        <v>5</v>
      </c>
      <c r="L30" s="10">
        <v>0</v>
      </c>
      <c r="M30" s="10">
        <f>SUMIFS('STOCK IN'!$F$3:$F$500,'STOCK IN'!$D$3:$D$500,B30,'STOCK IN'!$E$3:$E$500,$L$2)</f>
        <v>0</v>
      </c>
      <c r="N30" s="10">
        <f>SUMIFS('STOCK OUT'!$F$3:$F$9,'STOCK OUT'!$D$3:$D$9,B30,'STOCK OUT'!$E$3:$E$9,$L$2)</f>
        <v>0</v>
      </c>
      <c r="O30" s="10">
        <f t="shared" si="2"/>
        <v>0</v>
      </c>
      <c r="P30" s="10">
        <f t="shared" si="3"/>
        <v>5</v>
      </c>
      <c r="Q30" s="10">
        <f t="shared" si="4"/>
        <v>0</v>
      </c>
      <c r="R30" s="10">
        <f t="shared" si="5"/>
        <v>0</v>
      </c>
      <c r="S30" s="10">
        <f t="shared" si="6"/>
        <v>5</v>
      </c>
      <c r="T30" s="18" t="str">
        <f t="shared" si="7"/>
        <v>100 PCS</v>
      </c>
    </row>
    <row r="31" spans="1:20" ht="21" customHeight="1" thickBot="1" x14ac:dyDescent="0.35">
      <c r="A31" s="17">
        <v>27</v>
      </c>
      <c r="B31" s="16" t="s">
        <v>48</v>
      </c>
      <c r="C31" s="10">
        <v>20</v>
      </c>
      <c r="D31" s="10">
        <v>0</v>
      </c>
      <c r="E31" s="10">
        <f>SUMIFS('STOCK IN'!$F$3:$F$500,'STOCK IN'!$D$3:$D$500,B31,'STOCK IN'!$E$3:$E$500,$D$2)</f>
        <v>0</v>
      </c>
      <c r="F31" s="10">
        <f>SUMIFS('STOCK OUT'!$F$3:$F$9,'STOCK OUT'!$D$3:$D$9,B31,'STOCK OUT'!$E$3:$E$9,$D$2)</f>
        <v>0</v>
      </c>
      <c r="G31" s="10">
        <f t="shared" si="0"/>
        <v>0</v>
      </c>
      <c r="H31" s="10">
        <v>8</v>
      </c>
      <c r="I31" s="10">
        <f>SUMIFS('STOCK IN'!$F$3:$F$500,'STOCK IN'!$D$3:$D$500,B31,'STOCK IN'!$E$3:$E$500,$H$2)</f>
        <v>0</v>
      </c>
      <c r="J31" s="10">
        <f>SUMIFS('STOCK OUT'!$F$3:$F$9,'STOCK OUT'!$D$3:$D$9,B31,'STOCK OUT'!$E$3:$E$9,$H$2)</f>
        <v>0</v>
      </c>
      <c r="K31" s="10">
        <f t="shared" si="1"/>
        <v>8</v>
      </c>
      <c r="L31" s="10">
        <v>0</v>
      </c>
      <c r="M31" s="10">
        <f>SUMIFS('STOCK IN'!$F$3:$F$500,'STOCK IN'!$D$3:$D$500,B31,'STOCK IN'!$E$3:$E$500,$L$2)</f>
        <v>0</v>
      </c>
      <c r="N31" s="10">
        <f>SUMIFS('STOCK OUT'!$F$3:$F$9,'STOCK OUT'!$D$3:$D$9,B31,'STOCK OUT'!$E$3:$E$9,$L$2)</f>
        <v>0</v>
      </c>
      <c r="O31" s="10">
        <f t="shared" si="2"/>
        <v>0</v>
      </c>
      <c r="P31" s="10">
        <f t="shared" si="3"/>
        <v>8</v>
      </c>
      <c r="Q31" s="10">
        <f t="shared" si="4"/>
        <v>0</v>
      </c>
      <c r="R31" s="10">
        <f t="shared" si="5"/>
        <v>0</v>
      </c>
      <c r="S31" s="10">
        <f t="shared" si="6"/>
        <v>8</v>
      </c>
      <c r="T31" s="18" t="str">
        <f t="shared" si="7"/>
        <v>160 PCS</v>
      </c>
    </row>
    <row r="32" spans="1:20" ht="21" customHeight="1" x14ac:dyDescent="0.3">
      <c r="A32" s="11"/>
      <c r="B32" s="1"/>
      <c r="T32" s="11"/>
    </row>
    <row r="33" spans="1:20" ht="21" customHeight="1" x14ac:dyDescent="0.3">
      <c r="A33" s="11"/>
      <c r="B33" s="1"/>
      <c r="T33" s="11"/>
    </row>
    <row r="34" spans="1:20" ht="21" customHeight="1" x14ac:dyDescent="0.3">
      <c r="A34" s="11"/>
      <c r="B34" s="1"/>
      <c r="T34" s="11"/>
    </row>
    <row r="35" spans="1:20" ht="21" customHeight="1" x14ac:dyDescent="0.3">
      <c r="A35" s="11"/>
      <c r="B35" s="1"/>
      <c r="T35" s="11"/>
    </row>
    <row r="36" spans="1:20" ht="21" customHeight="1" x14ac:dyDescent="0.3">
      <c r="A36" s="11"/>
      <c r="B36" s="1"/>
      <c r="T36" s="11"/>
    </row>
    <row r="37" spans="1:20" ht="21" customHeight="1" x14ac:dyDescent="0.3">
      <c r="A37" s="11"/>
      <c r="B37" s="1"/>
      <c r="T37" s="11"/>
    </row>
    <row r="38" spans="1:20" ht="21" customHeight="1" x14ac:dyDescent="0.3">
      <c r="A38" s="11"/>
      <c r="B38" s="1"/>
      <c r="T38" s="11"/>
    </row>
    <row r="39" spans="1:20" ht="21" customHeight="1" x14ac:dyDescent="0.3">
      <c r="A39" s="11"/>
      <c r="B39" s="1"/>
      <c r="T39" s="11"/>
    </row>
    <row r="40" spans="1:20" ht="21" customHeight="1" x14ac:dyDescent="0.3">
      <c r="A40" s="11"/>
      <c r="B40" s="1"/>
      <c r="T40" s="11"/>
    </row>
    <row r="41" spans="1:20" ht="21" customHeight="1" x14ac:dyDescent="0.3">
      <c r="A41" s="11"/>
      <c r="B41" s="1"/>
      <c r="T41" s="11"/>
    </row>
    <row r="42" spans="1:20" ht="21" customHeight="1" x14ac:dyDescent="0.3">
      <c r="A42" s="11"/>
      <c r="B42" s="1"/>
      <c r="T42" s="11"/>
    </row>
    <row r="43" spans="1:20" ht="21" customHeight="1" x14ac:dyDescent="0.3">
      <c r="A43" s="11"/>
      <c r="B43" s="1"/>
      <c r="T43" s="11"/>
    </row>
    <row r="44" spans="1:20" ht="21" customHeight="1" x14ac:dyDescent="0.3">
      <c r="A44" s="11"/>
      <c r="B44" s="1"/>
      <c r="T44" s="11"/>
    </row>
    <row r="45" spans="1:20" ht="21" customHeight="1" x14ac:dyDescent="0.3">
      <c r="A45" s="11"/>
      <c r="B45" s="1"/>
      <c r="T45" s="11"/>
    </row>
    <row r="46" spans="1:20" ht="21" customHeight="1" x14ac:dyDescent="0.3">
      <c r="A46" s="11"/>
      <c r="B46" s="1"/>
      <c r="T46" s="11"/>
    </row>
    <row r="47" spans="1:20" ht="21" customHeight="1" x14ac:dyDescent="0.3">
      <c r="A47" s="11"/>
      <c r="B47" s="1"/>
      <c r="T47" s="11"/>
    </row>
    <row r="48" spans="1:20" ht="21" customHeight="1" x14ac:dyDescent="0.3">
      <c r="A48" s="11"/>
      <c r="B48" s="1"/>
      <c r="T48" s="11"/>
    </row>
    <row r="49" s="11" customFormat="1" ht="21" customHeight="1" x14ac:dyDescent="0.3"/>
    <row r="50" s="11" customFormat="1" ht="21" customHeight="1" x14ac:dyDescent="0.3"/>
    <row r="51" s="11" customFormat="1" ht="21" customHeight="1" x14ac:dyDescent="0.3"/>
    <row r="52" s="11" customFormat="1" ht="21" customHeight="1" x14ac:dyDescent="0.3"/>
    <row r="53" s="11" customFormat="1" ht="21" customHeight="1" x14ac:dyDescent="0.3"/>
    <row r="54" s="11" customFormat="1" ht="21" customHeight="1" x14ac:dyDescent="0.3"/>
    <row r="55" s="11" customFormat="1" ht="21" customHeight="1" x14ac:dyDescent="0.3"/>
    <row r="56" s="11" customFormat="1" ht="21" customHeight="1" x14ac:dyDescent="0.3"/>
    <row r="57" s="11" customFormat="1" ht="21" customHeight="1" x14ac:dyDescent="0.3"/>
    <row r="58" s="11" customFormat="1" ht="21" customHeight="1" x14ac:dyDescent="0.3"/>
    <row r="59" s="11" customFormat="1" ht="21" customHeight="1" x14ac:dyDescent="0.3"/>
    <row r="60" s="11" customFormat="1" ht="21" customHeight="1" x14ac:dyDescent="0.3"/>
    <row r="61" s="11" customFormat="1" ht="21" customHeight="1" x14ac:dyDescent="0.3"/>
    <row r="62" s="11" customFormat="1" ht="21" customHeight="1" x14ac:dyDescent="0.3"/>
    <row r="63" s="11" customFormat="1" ht="21" customHeight="1" x14ac:dyDescent="0.3"/>
    <row r="64" s="11" customFormat="1" ht="21" customHeight="1" x14ac:dyDescent="0.3"/>
    <row r="65" s="11" customFormat="1" ht="21" customHeight="1" x14ac:dyDescent="0.3"/>
    <row r="66" s="11" customFormat="1" ht="21" customHeight="1" x14ac:dyDescent="0.3"/>
    <row r="67" s="11" customFormat="1" ht="21" customHeight="1" x14ac:dyDescent="0.3"/>
    <row r="68" s="11" customFormat="1" ht="21" customHeight="1" x14ac:dyDescent="0.3"/>
    <row r="69" s="11" customFormat="1" ht="21" customHeight="1" x14ac:dyDescent="0.3"/>
    <row r="70" s="11" customFormat="1" ht="21" customHeight="1" x14ac:dyDescent="0.3"/>
    <row r="71" s="11" customFormat="1" ht="21" customHeight="1" x14ac:dyDescent="0.3"/>
    <row r="72" s="11" customFormat="1" ht="21" customHeight="1" x14ac:dyDescent="0.3"/>
    <row r="73" s="11" customFormat="1" ht="21" customHeight="1" x14ac:dyDescent="0.3"/>
    <row r="74" s="11" customFormat="1" ht="21" customHeight="1" x14ac:dyDescent="0.3"/>
    <row r="75" s="11" customFormat="1" ht="21" customHeight="1" x14ac:dyDescent="0.3"/>
    <row r="76" s="11" customFormat="1" ht="21" customHeight="1" x14ac:dyDescent="0.3"/>
    <row r="77" s="11" customFormat="1" ht="21" customHeight="1" x14ac:dyDescent="0.3"/>
    <row r="78" s="11" customFormat="1" ht="21" customHeight="1" x14ac:dyDescent="0.3"/>
    <row r="79" s="11" customFormat="1" ht="21" customHeight="1" x14ac:dyDescent="0.3"/>
    <row r="80" s="11" customFormat="1" ht="21" customHeight="1" x14ac:dyDescent="0.3"/>
    <row r="81" s="11" customFormat="1" ht="21" customHeight="1" x14ac:dyDescent="0.3"/>
    <row r="82" s="11" customFormat="1" ht="21" customHeight="1" x14ac:dyDescent="0.3"/>
    <row r="83" s="11" customFormat="1" ht="21" customHeight="1" x14ac:dyDescent="0.3"/>
    <row r="84" s="11" customFormat="1" ht="21" customHeight="1" x14ac:dyDescent="0.3"/>
    <row r="85" s="11" customFormat="1" ht="21" customHeight="1" x14ac:dyDescent="0.3"/>
    <row r="86" s="11" customFormat="1" ht="21" customHeight="1" x14ac:dyDescent="0.3"/>
    <row r="87" s="11" customFormat="1" ht="21" customHeight="1" x14ac:dyDescent="0.3"/>
    <row r="88" s="11" customFormat="1" ht="21" customHeight="1" x14ac:dyDescent="0.3"/>
    <row r="89" s="11" customFormat="1" ht="21" customHeight="1" x14ac:dyDescent="0.3"/>
    <row r="90" s="11" customFormat="1" ht="21" customHeight="1" x14ac:dyDescent="0.3"/>
    <row r="91" s="11" customFormat="1" ht="21" customHeight="1" x14ac:dyDescent="0.3"/>
    <row r="92" s="11" customFormat="1" ht="21" customHeight="1" x14ac:dyDescent="0.3"/>
    <row r="93" s="11" customFormat="1" ht="21" customHeight="1" x14ac:dyDescent="0.3"/>
    <row r="94" s="11" customFormat="1" ht="21" customHeight="1" x14ac:dyDescent="0.3"/>
    <row r="95" s="11" customFormat="1" ht="21" customHeight="1" x14ac:dyDescent="0.3"/>
    <row r="96" s="11" customFormat="1" ht="21" customHeight="1" x14ac:dyDescent="0.3"/>
    <row r="97" s="11" customFormat="1" ht="21" customHeight="1" x14ac:dyDescent="0.3"/>
    <row r="98" s="11" customFormat="1" ht="21" customHeight="1" x14ac:dyDescent="0.3"/>
    <row r="99" s="11" customFormat="1" ht="21" customHeight="1" x14ac:dyDescent="0.3"/>
    <row r="100" s="11" customFormat="1" ht="21" customHeight="1" x14ac:dyDescent="0.3"/>
    <row r="101" s="11" customFormat="1" ht="21" customHeight="1" x14ac:dyDescent="0.3"/>
    <row r="102" s="11" customFormat="1" ht="21" customHeight="1" x14ac:dyDescent="0.3"/>
    <row r="103" s="11" customFormat="1" ht="21" customHeight="1" x14ac:dyDescent="0.3"/>
    <row r="104" s="11" customFormat="1" ht="21" customHeight="1" x14ac:dyDescent="0.3"/>
    <row r="105" s="11" customFormat="1" ht="21" customHeight="1" x14ac:dyDescent="0.3"/>
    <row r="106" s="11" customFormat="1" ht="21" customHeight="1" x14ac:dyDescent="0.3"/>
    <row r="107" s="11" customFormat="1" ht="21" customHeight="1" x14ac:dyDescent="0.3"/>
    <row r="108" s="11" customFormat="1" ht="21" customHeight="1" x14ac:dyDescent="0.3"/>
    <row r="109" s="11" customFormat="1" ht="21" customHeight="1" x14ac:dyDescent="0.3"/>
    <row r="110" s="11" customFormat="1" ht="21" customHeight="1" x14ac:dyDescent="0.3"/>
    <row r="111" s="11" customFormat="1" ht="21" customHeight="1" x14ac:dyDescent="0.3"/>
    <row r="112" s="11" customFormat="1" ht="21" customHeight="1" x14ac:dyDescent="0.3"/>
    <row r="113" s="11" customFormat="1" ht="21" customHeight="1" x14ac:dyDescent="0.3"/>
    <row r="114" s="11" customFormat="1" ht="21" customHeight="1" x14ac:dyDescent="0.3"/>
    <row r="115" s="11" customFormat="1" ht="21" customHeight="1" x14ac:dyDescent="0.3"/>
    <row r="116" s="11" customFormat="1" ht="21" customHeight="1" x14ac:dyDescent="0.3"/>
    <row r="117" s="11" customFormat="1" ht="21" customHeight="1" x14ac:dyDescent="0.3"/>
    <row r="118" s="11" customFormat="1" ht="21" customHeight="1" x14ac:dyDescent="0.3"/>
    <row r="119" s="11" customFormat="1" ht="21" customHeight="1" x14ac:dyDescent="0.3"/>
    <row r="120" s="11" customFormat="1" ht="21" customHeight="1" x14ac:dyDescent="0.3"/>
    <row r="121" s="11" customFormat="1" ht="21" customHeight="1" x14ac:dyDescent="0.3"/>
    <row r="122" s="11" customFormat="1" ht="21" customHeight="1" x14ac:dyDescent="0.3"/>
    <row r="123" s="11" customFormat="1" ht="21" customHeight="1" x14ac:dyDescent="0.3"/>
    <row r="124" s="11" customFormat="1" ht="21" customHeight="1" x14ac:dyDescent="0.3"/>
    <row r="125" s="11" customFormat="1" ht="21" customHeight="1" x14ac:dyDescent="0.3"/>
    <row r="126" s="11" customFormat="1" ht="21" customHeight="1" x14ac:dyDescent="0.3"/>
    <row r="127" s="11" customFormat="1" ht="21" customHeight="1" x14ac:dyDescent="0.3"/>
    <row r="128" s="11" customFormat="1" ht="21" customHeight="1" x14ac:dyDescent="0.3"/>
    <row r="129" s="11" customFormat="1" ht="21" customHeight="1" x14ac:dyDescent="0.3"/>
    <row r="130" s="11" customFormat="1" ht="21" customHeight="1" x14ac:dyDescent="0.3"/>
    <row r="131" s="11" customFormat="1" ht="21" customHeight="1" x14ac:dyDescent="0.3"/>
    <row r="132" s="11" customFormat="1" ht="21" customHeight="1" x14ac:dyDescent="0.3"/>
    <row r="133" s="11" customFormat="1" ht="21" customHeight="1" x14ac:dyDescent="0.3"/>
    <row r="134" s="11" customFormat="1" ht="21" customHeight="1" x14ac:dyDescent="0.3"/>
    <row r="135" s="11" customFormat="1" ht="21" customHeight="1" x14ac:dyDescent="0.3"/>
    <row r="136" s="11" customFormat="1" ht="21" customHeight="1" x14ac:dyDescent="0.3"/>
    <row r="137" s="11" customFormat="1" ht="21" customHeight="1" x14ac:dyDescent="0.3"/>
    <row r="138" s="11" customFormat="1" ht="21" customHeight="1" x14ac:dyDescent="0.3"/>
    <row r="139" s="11" customFormat="1" ht="21" customHeight="1" x14ac:dyDescent="0.3"/>
    <row r="140" s="11" customFormat="1" ht="21" customHeight="1" x14ac:dyDescent="0.3"/>
    <row r="141" s="11" customFormat="1" ht="21" customHeight="1" x14ac:dyDescent="0.3"/>
    <row r="142" s="11" customFormat="1" ht="21" customHeight="1" x14ac:dyDescent="0.3"/>
    <row r="143" s="11" customFormat="1" ht="21" customHeight="1" x14ac:dyDescent="0.3"/>
    <row r="144" s="11" customFormat="1" ht="21" customHeight="1" x14ac:dyDescent="0.3"/>
    <row r="145" s="11" customFormat="1" ht="21" customHeight="1" x14ac:dyDescent="0.3"/>
    <row r="146" s="11" customFormat="1" ht="21" customHeight="1" x14ac:dyDescent="0.3"/>
    <row r="147" s="11" customFormat="1" ht="21" customHeight="1" x14ac:dyDescent="0.3"/>
    <row r="148" s="11" customFormat="1" ht="21" customHeight="1" x14ac:dyDescent="0.3"/>
    <row r="149" s="11" customFormat="1" ht="21" customHeight="1" x14ac:dyDescent="0.3"/>
    <row r="150" s="11" customFormat="1" ht="21" customHeight="1" x14ac:dyDescent="0.3"/>
    <row r="151" s="11" customFormat="1" ht="21" customHeight="1" x14ac:dyDescent="0.3"/>
    <row r="152" s="11" customFormat="1" ht="21" customHeight="1" x14ac:dyDescent="0.3"/>
    <row r="153" s="11" customFormat="1" ht="21" customHeight="1" x14ac:dyDescent="0.3"/>
    <row r="154" s="11" customFormat="1" ht="21" customHeight="1" x14ac:dyDescent="0.3"/>
    <row r="155" s="11" customFormat="1" ht="21" customHeight="1" x14ac:dyDescent="0.3"/>
    <row r="156" s="11" customFormat="1" ht="21" customHeight="1" x14ac:dyDescent="0.3"/>
    <row r="157" s="11" customFormat="1" ht="21" customHeight="1" x14ac:dyDescent="0.3"/>
    <row r="158" s="11" customFormat="1" ht="21" customHeight="1" x14ac:dyDescent="0.3"/>
    <row r="159" s="11" customFormat="1" ht="21" customHeight="1" x14ac:dyDescent="0.3"/>
    <row r="160" s="11" customFormat="1" ht="21" customHeight="1" x14ac:dyDescent="0.3"/>
    <row r="161" s="11" customFormat="1" ht="21" customHeight="1" x14ac:dyDescent="0.3"/>
    <row r="162" s="11" customFormat="1" ht="21" customHeight="1" x14ac:dyDescent="0.3"/>
    <row r="163" s="11" customFormat="1" ht="21" customHeight="1" x14ac:dyDescent="0.3"/>
    <row r="164" s="11" customFormat="1" ht="21" customHeight="1" x14ac:dyDescent="0.3"/>
    <row r="165" s="11" customFormat="1" ht="21" customHeight="1" x14ac:dyDescent="0.3"/>
    <row r="166" s="11" customFormat="1" ht="21" customHeight="1" x14ac:dyDescent="0.3"/>
    <row r="167" s="11" customFormat="1" ht="21" customHeight="1" x14ac:dyDescent="0.3"/>
    <row r="168" s="11" customFormat="1" ht="21" customHeight="1" x14ac:dyDescent="0.3"/>
    <row r="169" s="11" customFormat="1" ht="21" customHeight="1" x14ac:dyDescent="0.3"/>
    <row r="170" s="11" customFormat="1" ht="21" customHeight="1" x14ac:dyDescent="0.3"/>
    <row r="171" s="11" customFormat="1" ht="21" customHeight="1" x14ac:dyDescent="0.3"/>
    <row r="172" s="11" customFormat="1" ht="21" customHeight="1" x14ac:dyDescent="0.3"/>
    <row r="173" s="11" customFormat="1" ht="21" customHeight="1" x14ac:dyDescent="0.3"/>
    <row r="174" s="11" customFormat="1" ht="21" customHeight="1" x14ac:dyDescent="0.3"/>
    <row r="175" s="11" customFormat="1" ht="21" customHeight="1" x14ac:dyDescent="0.3"/>
    <row r="176" s="11" customFormat="1" ht="21" customHeight="1" x14ac:dyDescent="0.3"/>
    <row r="177" s="11" customFormat="1" ht="21" customHeight="1" x14ac:dyDescent="0.3"/>
    <row r="178" s="11" customFormat="1" ht="21" customHeight="1" x14ac:dyDescent="0.3"/>
    <row r="179" s="11" customFormat="1" ht="21" customHeight="1" x14ac:dyDescent="0.3"/>
    <row r="180" s="11" customFormat="1" ht="21" customHeight="1" x14ac:dyDescent="0.3"/>
    <row r="181" s="11" customFormat="1" ht="21" customHeight="1" x14ac:dyDescent="0.3"/>
    <row r="182" s="11" customFormat="1" ht="21" customHeight="1" x14ac:dyDescent="0.3"/>
    <row r="183" s="11" customFormat="1" ht="21" customHeight="1" x14ac:dyDescent="0.3"/>
    <row r="184" s="11" customFormat="1" ht="21" customHeight="1" x14ac:dyDescent="0.3"/>
    <row r="185" s="11" customFormat="1" ht="21" customHeight="1" x14ac:dyDescent="0.3"/>
    <row r="186" s="11" customFormat="1" ht="21" customHeight="1" x14ac:dyDescent="0.3"/>
    <row r="187" s="11" customFormat="1" ht="21" customHeight="1" x14ac:dyDescent="0.3"/>
    <row r="188" s="11" customFormat="1" ht="21" customHeight="1" x14ac:dyDescent="0.3"/>
    <row r="189" s="11" customFormat="1" ht="21" customHeight="1" x14ac:dyDescent="0.3"/>
    <row r="190" s="11" customFormat="1" ht="21" customHeight="1" x14ac:dyDescent="0.3"/>
    <row r="191" s="11" customFormat="1" ht="21" customHeight="1" x14ac:dyDescent="0.3"/>
    <row r="192" s="11" customFormat="1" ht="21" customHeight="1" x14ac:dyDescent="0.3"/>
    <row r="193" s="11" customFormat="1" ht="21" customHeight="1" x14ac:dyDescent="0.3"/>
    <row r="194" s="11" customFormat="1" ht="21" customHeight="1" x14ac:dyDescent="0.3"/>
    <row r="195" s="11" customFormat="1" ht="21" customHeight="1" x14ac:dyDescent="0.3"/>
    <row r="196" s="11" customFormat="1" ht="21" customHeight="1" x14ac:dyDescent="0.3"/>
    <row r="197" s="11" customFormat="1" ht="21" customHeight="1" x14ac:dyDescent="0.3"/>
    <row r="198" s="11" customFormat="1" ht="21" customHeight="1" x14ac:dyDescent="0.3"/>
    <row r="199" s="11" customFormat="1" ht="21" customHeight="1" x14ac:dyDescent="0.3"/>
    <row r="200" s="11" customFormat="1" ht="21" customHeight="1" x14ac:dyDescent="0.3"/>
    <row r="201" s="11" customFormat="1" ht="21" customHeight="1" x14ac:dyDescent="0.3"/>
    <row r="202" s="11" customFormat="1" ht="21" customHeight="1" x14ac:dyDescent="0.3"/>
    <row r="203" s="11" customFormat="1" ht="21" customHeight="1" x14ac:dyDescent="0.3"/>
    <row r="204" s="11" customFormat="1" ht="21" customHeight="1" x14ac:dyDescent="0.3"/>
    <row r="205" s="11" customFormat="1" ht="21" customHeight="1" x14ac:dyDescent="0.3"/>
    <row r="206" s="11" customFormat="1" ht="21" customHeight="1" x14ac:dyDescent="0.3"/>
    <row r="207" s="11" customFormat="1" ht="21" customHeight="1" x14ac:dyDescent="0.3"/>
    <row r="208" s="11" customFormat="1" ht="21" customHeight="1" x14ac:dyDescent="0.3"/>
    <row r="209" s="11" customFormat="1" ht="21" customHeight="1" x14ac:dyDescent="0.3"/>
    <row r="210" s="11" customFormat="1" ht="21" customHeight="1" x14ac:dyDescent="0.3"/>
    <row r="211" s="11" customFormat="1" ht="21" customHeight="1" x14ac:dyDescent="0.3"/>
    <row r="212" s="11" customFormat="1" ht="21" customHeight="1" x14ac:dyDescent="0.3"/>
    <row r="213" s="11" customFormat="1" ht="21" customHeight="1" x14ac:dyDescent="0.3"/>
    <row r="214" s="11" customFormat="1" ht="21" customHeight="1" x14ac:dyDescent="0.3"/>
    <row r="215" s="11" customFormat="1" ht="21" customHeight="1" x14ac:dyDescent="0.3"/>
    <row r="216" s="11" customFormat="1" ht="21" customHeight="1" x14ac:dyDescent="0.3"/>
    <row r="217" s="11" customFormat="1" ht="21" customHeight="1" x14ac:dyDescent="0.3"/>
  </sheetData>
  <sortState xmlns:xlrd2="http://schemas.microsoft.com/office/spreadsheetml/2017/richdata2" ref="A5:T31">
    <sortCondition ref="B5:B31"/>
  </sortState>
  <mergeCells count="13">
    <mergeCell ref="U3:W3"/>
    <mergeCell ref="T2:T3"/>
    <mergeCell ref="A1:T1"/>
    <mergeCell ref="A2:A3"/>
    <mergeCell ref="B2:B3"/>
    <mergeCell ref="C2:C3"/>
    <mergeCell ref="D2:G2"/>
    <mergeCell ref="H2:K2"/>
    <mergeCell ref="L2:O2"/>
    <mergeCell ref="P2:P3"/>
    <mergeCell ref="Q2:Q3"/>
    <mergeCell ref="R2:R3"/>
    <mergeCell ref="S2:S3"/>
  </mergeCells>
  <conditionalFormatting sqref="A1:T1 P4:P1048576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{C922221B-3E50-4B94-9F47-AC63189CD53B}</x14:id>
        </ext>
      </extLst>
    </cfRule>
  </conditionalFormatting>
  <conditionalFormatting sqref="D15:D31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{8E9661C8-8123-401A-A119-DF9EC28BCFB5}</x14:id>
        </ext>
      </extLst>
    </cfRule>
  </conditionalFormatting>
  <conditionalFormatting sqref="D32:D1048576 D5:D14 A1:T1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{FF7463BE-B800-4BD5-AFF9-34E91527BA65}</x14:id>
        </ext>
      </extLst>
    </cfRule>
  </conditionalFormatting>
  <conditionalFormatting sqref="H5:H1048576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{4DA320A7-3321-46D1-BF0D-F3ED4FFEC7EE}</x14:id>
        </ext>
      </extLst>
    </cfRule>
  </conditionalFormatting>
  <conditionalFormatting sqref="K5:K1048576 O5:O1048576 G5:G104857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{6C9D78F1-1AD7-4C10-9054-E02166BF1977}</x14:id>
        </ext>
      </extLst>
    </cfRule>
  </conditionalFormatting>
  <conditionalFormatting sqref="L5:L26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{C5AE58B1-0ECF-4FD8-B598-DEECD726BD86}</x14:id>
        </ext>
      </extLst>
    </cfRule>
  </conditionalFormatting>
  <conditionalFormatting sqref="L27:L1048576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{D8A00DE7-4B99-43DB-88B3-67D1F0961AAE}</x14:id>
        </ext>
      </extLst>
    </cfRule>
  </conditionalFormatting>
  <conditionalFormatting sqref="S5:S31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{EF8819A5-DA34-47DD-9D06-3A3179E48E82}</x14:id>
        </ext>
      </extLst>
    </cfRule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{B441759D-50C8-44DE-8474-4FB1F5D4DF96}</x14:id>
        </ext>
      </extLst>
    </cfRule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{06005BFF-1EE8-428A-ADD9-85B85EEAFFB9}</x14:id>
        </ext>
      </extLs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{0D288A84-2682-4736-B529-06B868D8B27B}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{0D2AEEE4-630D-4462-8C0C-3566C21CAD8E}</x14:id>
        </ext>
      </extLs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{63586686-5854-4060-8591-B12461725615}</x14:id>
        </ext>
      </extLst>
    </cfRule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{F2DC949F-FEF1-4C52-AAD5-2681B027AE78}</x14:id>
        </ext>
      </extLst>
    </cfRule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{0C2914BA-5F3B-430B-B5C0-604BFCA15FA1}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{62B52D74-51CA-42E3-9737-6F27D7815AE8}</x14:id>
        </ext>
      </extLst>
    </cfRule>
    <cfRule type="dataBar" priority="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{67F7E2A2-E486-4FD3-90F6-5860F8E6FB7C}</x14:id>
        </ext>
      </extLst>
    </cfRule>
    <cfRule type="dataBar" priority="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{A3EB527E-47CB-46B0-890C-571A9BC565BD}</x14:id>
        </ext>
      </extLst>
    </cfRule>
  </conditionalFormatting>
  <conditionalFormatting sqref="T4">
    <cfRule type="colorScale" priority="36">
      <colorScale>
        <cfvo type="min"/>
        <cfvo type="percentile" val="50"/>
        <cfvo type="max"/>
        <color theme="5" tint="-0.249977111117893"/>
        <color rgb="FFFCFCFF"/>
        <color theme="9" tint="-0.249977111117893"/>
      </colorScale>
    </cfRule>
  </conditionalFormatting>
  <conditionalFormatting sqref="T5:T30">
    <cfRule type="dataBar" priority="1">
      <dataBar>
        <cfvo type="min"/>
        <cfvo type="max"/>
        <color theme="3" tint="0.59999389629810485"/>
      </dataBar>
      <extLst>
        <ext xmlns:x14="http://schemas.microsoft.com/office/spreadsheetml/2009/9/main" uri="{B025F937-C7B1-47D3-B67F-A62EFF666E3E}">
          <x14:id>{9AB621D0-91C1-4DEA-A2ED-1A2708FA41DE}</x14:id>
        </ext>
      </extLst>
    </cfRule>
  </conditionalFormatting>
  <pageMargins left="0.25" right="0.25" top="0.75" bottom="0.75" header="0.3" footer="0.3"/>
  <pageSetup paperSize="9" scale="54" orientation="landscape" r:id="rId1"/>
  <rowBreaks count="1" manualBreakCount="1">
    <brk id="38" max="16383" man="1"/>
  </rowBreaks>
  <colBreaks count="1" manualBreakCount="1">
    <brk id="20" max="1048575" man="1"/>
  </col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22221B-3E50-4B94-9F47-AC63189CD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A1:T1 P4:P1048576</xm:sqref>
        </x14:conditionalFormatting>
        <x14:conditionalFormatting xmlns:xm="http://schemas.microsoft.com/office/excel/2006/main">
          <x14:cfRule type="dataBar" id="{8E9661C8-8123-401A-A119-DF9EC28BC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D15:D31</xm:sqref>
        </x14:conditionalFormatting>
        <x14:conditionalFormatting xmlns:xm="http://schemas.microsoft.com/office/excel/2006/main">
          <x14:cfRule type="dataBar" id="{FF7463BE-B800-4BD5-AFF9-34E91527BA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D32:D1048576 D5:D14 A1:T1</xm:sqref>
        </x14:conditionalFormatting>
        <x14:conditionalFormatting xmlns:xm="http://schemas.microsoft.com/office/excel/2006/main">
          <x14:cfRule type="dataBar" id="{4DA320A7-3321-46D1-BF0D-F3ED4FFEC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H5:H1048576</xm:sqref>
        </x14:conditionalFormatting>
        <x14:conditionalFormatting xmlns:xm="http://schemas.microsoft.com/office/excel/2006/main">
          <x14:cfRule type="dataBar" id="{6C9D78F1-1AD7-4C10-9054-E02166BF19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K5:K1048576 O5:O1048576 G5:G1048576</xm:sqref>
        </x14:conditionalFormatting>
        <x14:conditionalFormatting xmlns:xm="http://schemas.microsoft.com/office/excel/2006/main">
          <x14:cfRule type="dataBar" id="{C5AE58B1-0ECF-4FD8-B598-DEECD726BD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L5:L26</xm:sqref>
        </x14:conditionalFormatting>
        <x14:conditionalFormatting xmlns:xm="http://schemas.microsoft.com/office/excel/2006/main">
          <x14:cfRule type="dataBar" id="{D8A00DE7-4B99-43DB-88B3-67D1F0961A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L27:L1048576</xm:sqref>
        </x14:conditionalFormatting>
        <x14:conditionalFormatting xmlns:xm="http://schemas.microsoft.com/office/excel/2006/main">
          <x14:cfRule type="dataBar" id="{EF8819A5-DA34-47DD-9D06-3A3179E48E8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441759D-50C8-44DE-8474-4FB1F5D4DF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005BFF-1EE8-428A-ADD9-85B85EEAFF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288A84-2682-4736-B529-06B868D8B2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AEEE4-630D-4462-8C0C-3566C21CAD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3586686-5854-4060-8591-B124617256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DC949F-FEF1-4C52-AAD5-2681B027AE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2914BA-5F3B-430B-B5C0-604BFCA15F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B52D74-51CA-42E3-9737-6F27D7815A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7F7E2A2-E486-4FD3-90F6-5860F8E6FB7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A3EB527E-47CB-46B0-890C-571A9BC565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S5:S31</xm:sqref>
        </x14:conditionalFormatting>
        <x14:conditionalFormatting xmlns:xm="http://schemas.microsoft.com/office/excel/2006/main">
          <x14:cfRule type="dataBar" id="{9AB621D0-91C1-4DEA-A2ED-1A2708FA41DE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T5:T30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3F04-4D86-4824-A195-71312F5B0AC7}">
  <dimension ref="A1:F22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E3" sqref="E3"/>
    </sheetView>
  </sheetViews>
  <sheetFormatPr defaultRowHeight="27.6" customHeight="1" thickBottom="1" x14ac:dyDescent="0.35"/>
  <cols>
    <col min="1" max="1" width="30.44140625" style="4" customWidth="1"/>
    <col min="2" max="2" width="30.44140625" style="6" customWidth="1"/>
    <col min="3" max="6" width="30.44140625" style="4" customWidth="1"/>
  </cols>
  <sheetData>
    <row r="1" spans="1:6" ht="38.4" customHeight="1" thickTop="1" thickBot="1" x14ac:dyDescent="0.35">
      <c r="A1" s="40" t="s">
        <v>14</v>
      </c>
      <c r="B1" s="40"/>
      <c r="C1" s="40"/>
      <c r="D1" s="40"/>
      <c r="E1" s="40"/>
      <c r="F1" s="40"/>
    </row>
    <row r="2" spans="1:6" ht="31.2" customHeight="1" thickTop="1" thickBot="1" x14ac:dyDescent="0.35">
      <c r="A2" s="2" t="s">
        <v>20</v>
      </c>
      <c r="B2" s="2" t="s">
        <v>15</v>
      </c>
      <c r="C2" s="2" t="s">
        <v>17</v>
      </c>
      <c r="D2" s="2" t="s">
        <v>16</v>
      </c>
      <c r="E2" s="2" t="s">
        <v>18</v>
      </c>
      <c r="F2" s="2" t="s">
        <v>19</v>
      </c>
    </row>
    <row r="3" spans="1:6" ht="27.6" customHeight="1" thickTop="1" thickBot="1" x14ac:dyDescent="0.35">
      <c r="A3" s="3">
        <v>1</v>
      </c>
      <c r="B3" s="5"/>
      <c r="C3" s="3"/>
      <c r="D3" s="3"/>
      <c r="E3" s="3"/>
      <c r="F3" s="3"/>
    </row>
    <row r="4" spans="1:6" ht="27.6" customHeight="1" thickBot="1" x14ac:dyDescent="0.35">
      <c r="A4" s="4">
        <v>2</v>
      </c>
    </row>
    <row r="5" spans="1:6" ht="27.6" customHeight="1" thickBot="1" x14ac:dyDescent="0.35">
      <c r="A5" s="4">
        <v>3</v>
      </c>
      <c r="B5" s="5"/>
      <c r="C5" s="3"/>
      <c r="F5" s="3"/>
    </row>
    <row r="6" spans="1:6" ht="27.6" customHeight="1" thickBot="1" x14ac:dyDescent="0.35">
      <c r="A6" s="4">
        <v>4</v>
      </c>
      <c r="D6" s="3"/>
      <c r="F6" s="3"/>
    </row>
    <row r="7" spans="1:6" ht="27.6" customHeight="1" thickBot="1" x14ac:dyDescent="0.35">
      <c r="A7" s="4">
        <v>5</v>
      </c>
      <c r="B7" s="5"/>
      <c r="C7" s="3"/>
    </row>
    <row r="8" spans="1:6" ht="27.6" customHeight="1" thickBot="1" x14ac:dyDescent="0.35">
      <c r="A8" s="4">
        <v>6</v>
      </c>
      <c r="F8" s="3"/>
    </row>
    <row r="9" spans="1:6" ht="27.6" customHeight="1" thickBot="1" x14ac:dyDescent="0.35">
      <c r="A9" s="4">
        <v>7</v>
      </c>
      <c r="B9" s="5"/>
      <c r="C9" s="3"/>
      <c r="D9" s="3"/>
      <c r="F9" s="3"/>
    </row>
    <row r="10" spans="1:6" ht="27.6" customHeight="1" thickBot="1" x14ac:dyDescent="0.35">
      <c r="A10" s="4">
        <v>8</v>
      </c>
    </row>
    <row r="11" spans="1:6" ht="27.6" customHeight="1" thickBot="1" x14ac:dyDescent="0.35">
      <c r="A11" s="4">
        <v>9</v>
      </c>
      <c r="B11" s="5"/>
      <c r="C11" s="3"/>
      <c r="F11" s="3"/>
    </row>
    <row r="12" spans="1:6" ht="27.6" customHeight="1" thickBot="1" x14ac:dyDescent="0.35">
      <c r="A12" s="4">
        <v>10</v>
      </c>
      <c r="D12" s="3"/>
      <c r="F12" s="3"/>
    </row>
    <row r="13" spans="1:6" ht="27.6" customHeight="1" thickBot="1" x14ac:dyDescent="0.35">
      <c r="A13" s="3">
        <v>11</v>
      </c>
      <c r="B13" s="5"/>
      <c r="C13" s="3"/>
    </row>
    <row r="14" spans="1:6" ht="27.6" customHeight="1" thickBot="1" x14ac:dyDescent="0.35">
      <c r="A14" s="4">
        <v>12</v>
      </c>
      <c r="F14" s="3"/>
    </row>
    <row r="15" spans="1:6" ht="27.6" customHeight="1" thickBot="1" x14ac:dyDescent="0.35">
      <c r="A15" s="4">
        <v>13</v>
      </c>
      <c r="B15" s="5"/>
      <c r="C15" s="3"/>
      <c r="D15" s="3"/>
      <c r="F15" s="3"/>
    </row>
    <row r="16" spans="1:6" ht="27.6" customHeight="1" thickBot="1" x14ac:dyDescent="0.35">
      <c r="A16" s="4">
        <v>14</v>
      </c>
    </row>
    <row r="17" spans="1:6" ht="27.6" customHeight="1" thickBot="1" x14ac:dyDescent="0.35">
      <c r="A17" s="3">
        <v>15</v>
      </c>
      <c r="B17" s="5"/>
      <c r="C17" s="3"/>
      <c r="F17" s="3"/>
    </row>
    <row r="18" spans="1:6" ht="27.6" customHeight="1" thickBot="1" x14ac:dyDescent="0.35">
      <c r="A18" s="4">
        <v>16</v>
      </c>
      <c r="D18" s="3"/>
      <c r="F18" s="3"/>
    </row>
    <row r="19" spans="1:6" ht="27.6" customHeight="1" thickBot="1" x14ac:dyDescent="0.35">
      <c r="A19" s="4">
        <v>17</v>
      </c>
      <c r="B19" s="5"/>
      <c r="C19" s="3"/>
    </row>
    <row r="20" spans="1:6" ht="27.6" customHeight="1" thickBot="1" x14ac:dyDescent="0.35">
      <c r="A20" s="4">
        <v>18</v>
      </c>
      <c r="F20" s="3"/>
    </row>
    <row r="21" spans="1:6" ht="27.6" customHeight="1" thickBot="1" x14ac:dyDescent="0.35">
      <c r="A21" s="4">
        <v>19</v>
      </c>
    </row>
    <row r="22" spans="1:6" ht="27.6" customHeight="1" thickBot="1" x14ac:dyDescent="0.35">
      <c r="A22" s="4">
        <v>20</v>
      </c>
    </row>
  </sheetData>
  <mergeCells count="1">
    <mergeCell ref="A1:F1"/>
  </mergeCells>
  <dataValidations count="1">
    <dataValidation type="list" allowBlank="1" showInputMessage="1" showErrorMessage="1" sqref="E3:E1048576 A1:F1" xr:uid="{D729AFCF-84E6-43FE-8384-A51787A0A5D5}">
      <formula1>GODOWN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7C5A-CD68-4236-BCC4-F65F9AC24F1C}">
  <dimension ref="A1:G9"/>
  <sheetViews>
    <sheetView tabSelected="1" zoomScaleNormal="100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C11" sqref="C11"/>
    </sheetView>
  </sheetViews>
  <sheetFormatPr defaultRowHeight="27" customHeight="1" x14ac:dyDescent="0.3"/>
  <cols>
    <col min="1" max="1" width="30.44140625" style="43" customWidth="1"/>
    <col min="2" max="2" width="30.44140625" style="44" customWidth="1"/>
    <col min="3" max="5" width="30.44140625" style="43" customWidth="1"/>
    <col min="6" max="6" width="23.21875" style="43" customWidth="1"/>
    <col min="7" max="7" width="22.21875" style="45" customWidth="1"/>
    <col min="8" max="16384" width="8.88671875" style="45"/>
  </cols>
  <sheetData>
    <row r="1" spans="1:7" customFormat="1" ht="39" customHeight="1" thickBot="1" x14ac:dyDescent="0.35">
      <c r="A1" s="41" t="s">
        <v>21</v>
      </c>
      <c r="B1" s="42"/>
      <c r="C1" s="42"/>
      <c r="D1" s="42"/>
      <c r="E1" s="42"/>
      <c r="F1" s="42"/>
      <c r="G1" s="42"/>
    </row>
    <row r="2" spans="1:7" customFormat="1" ht="43.2" customHeight="1" thickTop="1" thickBot="1" x14ac:dyDescent="0.35">
      <c r="A2" s="2" t="s">
        <v>20</v>
      </c>
      <c r="B2" s="2" t="s">
        <v>15</v>
      </c>
      <c r="C2" s="2" t="s">
        <v>17</v>
      </c>
      <c r="D2" s="2" t="s">
        <v>16</v>
      </c>
      <c r="E2" s="2" t="s">
        <v>18</v>
      </c>
      <c r="F2" s="2" t="s">
        <v>55</v>
      </c>
      <c r="G2" s="2" t="s">
        <v>54</v>
      </c>
    </row>
    <row r="3" spans="1:7" customFormat="1" ht="27" customHeight="1" thickTop="1" thickBot="1" x14ac:dyDescent="0.35">
      <c r="A3" s="3">
        <v>1</v>
      </c>
      <c r="B3" s="5">
        <v>45707</v>
      </c>
      <c r="C3" s="3" t="s">
        <v>50</v>
      </c>
      <c r="D3" s="3" t="s">
        <v>41</v>
      </c>
      <c r="E3" s="3" t="s">
        <v>5</v>
      </c>
      <c r="F3" s="3">
        <v>10</v>
      </c>
      <c r="G3" s="3">
        <v>200</v>
      </c>
    </row>
    <row r="4" spans="1:7" customFormat="1" ht="27" customHeight="1" thickBot="1" x14ac:dyDescent="0.35">
      <c r="A4" s="4">
        <v>2</v>
      </c>
      <c r="B4" s="6">
        <v>45707</v>
      </c>
      <c r="C4" s="4" t="s">
        <v>50</v>
      </c>
      <c r="D4" s="4" t="s">
        <v>45</v>
      </c>
      <c r="E4" s="4" t="s">
        <v>4</v>
      </c>
      <c r="F4" s="4">
        <v>10</v>
      </c>
      <c r="G4" s="3">
        <v>200</v>
      </c>
    </row>
    <row r="5" spans="1:7" customFormat="1" ht="27" customHeight="1" thickBot="1" x14ac:dyDescent="0.35">
      <c r="A5" s="4">
        <v>3</v>
      </c>
      <c r="B5" s="5">
        <v>45716</v>
      </c>
      <c r="C5" s="3" t="s">
        <v>53</v>
      </c>
      <c r="D5" s="4" t="s">
        <v>43</v>
      </c>
      <c r="E5" s="4" t="s">
        <v>4</v>
      </c>
      <c r="F5" s="3">
        <v>5</v>
      </c>
      <c r="G5" s="3">
        <v>100</v>
      </c>
    </row>
    <row r="6" spans="1:7" customFormat="1" ht="27" customHeight="1" thickBot="1" x14ac:dyDescent="0.35">
      <c r="A6" s="4">
        <v>4</v>
      </c>
      <c r="B6" s="5">
        <v>45716</v>
      </c>
      <c r="C6" s="3" t="s">
        <v>53</v>
      </c>
      <c r="D6" s="3" t="s">
        <v>30</v>
      </c>
      <c r="E6" s="4" t="s">
        <v>3</v>
      </c>
      <c r="F6" s="3">
        <v>2</v>
      </c>
      <c r="G6" s="3">
        <v>40</v>
      </c>
    </row>
    <row r="7" spans="1:7" customFormat="1" ht="27" customHeight="1" thickBot="1" x14ac:dyDescent="0.35">
      <c r="A7" s="4">
        <v>5</v>
      </c>
      <c r="B7" s="6">
        <v>45716</v>
      </c>
      <c r="C7" s="4" t="s">
        <v>53</v>
      </c>
      <c r="D7" s="4" t="s">
        <v>32</v>
      </c>
      <c r="E7" s="4" t="s">
        <v>4</v>
      </c>
      <c r="F7" s="4">
        <v>2</v>
      </c>
      <c r="G7" s="4">
        <v>40</v>
      </c>
    </row>
    <row r="8" spans="1:7" customFormat="1" ht="27" customHeight="1" thickBot="1" x14ac:dyDescent="0.35">
      <c r="A8" s="4">
        <v>6</v>
      </c>
      <c r="B8" s="6">
        <v>45716</v>
      </c>
      <c r="C8" s="4" t="s">
        <v>53</v>
      </c>
      <c r="D8" s="4" t="s">
        <v>39</v>
      </c>
      <c r="E8" s="4" t="s">
        <v>3</v>
      </c>
      <c r="F8" s="4">
        <v>1</v>
      </c>
      <c r="G8" s="4">
        <v>20</v>
      </c>
    </row>
    <row r="9" spans="1:7" customFormat="1" ht="27" customHeight="1" thickBot="1" x14ac:dyDescent="0.35">
      <c r="A9" s="46">
        <v>7</v>
      </c>
      <c r="B9" s="6">
        <v>45716</v>
      </c>
      <c r="C9" s="47" t="s">
        <v>53</v>
      </c>
      <c r="D9" s="46" t="s">
        <v>28</v>
      </c>
      <c r="E9" s="46" t="s">
        <v>4</v>
      </c>
      <c r="F9" s="46">
        <v>1</v>
      </c>
      <c r="G9" s="4">
        <v>20</v>
      </c>
    </row>
  </sheetData>
  <mergeCells count="1">
    <mergeCell ref="A1:G1"/>
  </mergeCells>
  <phoneticPr fontId="11" type="noConversion"/>
  <dataValidations count="1">
    <dataValidation type="list" allowBlank="1" showInputMessage="1" showErrorMessage="1" sqref="E3:E9" xr:uid="{4961ED34-15AB-4EF6-B451-1414405D171D}">
      <formula1>GODOWN</formula1>
    </dataValidation>
  </dataValidations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INVENTORY</vt:lpstr>
      <vt:lpstr>STOCK IN</vt:lpstr>
      <vt:lpstr>STOCK OUT</vt:lpstr>
      <vt:lpstr>GODOWN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thakur</dc:creator>
  <cp:lastModifiedBy>surya thakur</cp:lastModifiedBy>
  <cp:lastPrinted>2025-03-01T06:53:28Z</cp:lastPrinted>
  <dcterms:created xsi:type="dcterms:W3CDTF">2024-12-14T06:58:41Z</dcterms:created>
  <dcterms:modified xsi:type="dcterms:W3CDTF">2025-03-01T06:57:54Z</dcterms:modified>
</cp:coreProperties>
</file>